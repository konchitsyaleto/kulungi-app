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yoonseo/Documents/라운지 앱/"/>
    </mc:Choice>
  </mc:AlternateContent>
  <xr:revisionPtr revIDLastSave="0" documentId="8_{F6FC210E-9A27-0646-BA87-8F640A01EA40}" xr6:coauthVersionLast="47" xr6:coauthVersionMax="47" xr10:uidLastSave="{00000000-0000-0000-0000-000000000000}"/>
  <bookViews>
    <workbookView xWindow="8240" yWindow="3600" windowWidth="28300" windowHeight="17440" xr2:uid="{3E3A1601-4E37-134F-9500-D54D980F77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62" i="1" l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AV5" i="1"/>
  <c r="AU5" i="1"/>
  <c r="AV4" i="1"/>
  <c r="AU4" i="1"/>
  <c r="AV3" i="1"/>
  <c r="AU3" i="1"/>
  <c r="AV2" i="1"/>
  <c r="AU2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  <c r="AS62" i="1"/>
  <c r="AR62" i="1"/>
  <c r="AQ62" i="1"/>
  <c r="AP62" i="1"/>
  <c r="AS61" i="1"/>
  <c r="AR61" i="1"/>
  <c r="AQ61" i="1"/>
  <c r="AP61" i="1"/>
  <c r="AS60" i="1"/>
  <c r="AR60" i="1"/>
  <c r="AQ60" i="1"/>
  <c r="AP60" i="1"/>
  <c r="AS59" i="1"/>
  <c r="AR59" i="1"/>
  <c r="AQ59" i="1"/>
  <c r="AP59" i="1"/>
  <c r="AS58" i="1"/>
  <c r="AR58" i="1"/>
  <c r="AQ58" i="1"/>
  <c r="AP58" i="1"/>
  <c r="AS57" i="1"/>
  <c r="AR57" i="1"/>
  <c r="AQ57" i="1"/>
  <c r="AP57" i="1"/>
  <c r="AS56" i="1"/>
  <c r="AR56" i="1"/>
  <c r="AQ56" i="1"/>
  <c r="AP56" i="1"/>
  <c r="AS55" i="1"/>
  <c r="AR55" i="1"/>
  <c r="AQ55" i="1"/>
  <c r="AP55" i="1"/>
  <c r="AS54" i="1"/>
  <c r="AR54" i="1"/>
  <c r="AQ54" i="1"/>
  <c r="AP54" i="1"/>
  <c r="AS53" i="1"/>
  <c r="AR53" i="1"/>
  <c r="AQ53" i="1"/>
  <c r="AP53" i="1"/>
  <c r="AS52" i="1"/>
  <c r="AR52" i="1"/>
  <c r="AQ52" i="1"/>
  <c r="AP52" i="1"/>
  <c r="AS51" i="1"/>
  <c r="AR51" i="1"/>
  <c r="AQ51" i="1"/>
  <c r="AP51" i="1"/>
  <c r="AS50" i="1"/>
  <c r="AR50" i="1"/>
  <c r="AQ50" i="1"/>
  <c r="AP50" i="1"/>
  <c r="AS49" i="1"/>
  <c r="AR49" i="1"/>
  <c r="AQ49" i="1"/>
  <c r="AP49" i="1"/>
  <c r="AS48" i="1"/>
  <c r="AR48" i="1"/>
  <c r="AQ48" i="1"/>
  <c r="AP48" i="1"/>
  <c r="AS47" i="1"/>
  <c r="AR47" i="1"/>
  <c r="AQ47" i="1"/>
  <c r="AP47" i="1"/>
  <c r="AS46" i="1"/>
  <c r="AR46" i="1"/>
  <c r="AQ46" i="1"/>
  <c r="AP46" i="1"/>
  <c r="AS45" i="1"/>
  <c r="AR45" i="1"/>
  <c r="AQ45" i="1"/>
  <c r="AP45" i="1"/>
  <c r="AS44" i="1"/>
  <c r="AR44" i="1"/>
  <c r="AQ44" i="1"/>
  <c r="AP44" i="1"/>
  <c r="AS43" i="1"/>
  <c r="AR43" i="1"/>
  <c r="AQ43" i="1"/>
  <c r="AP43" i="1"/>
  <c r="AS42" i="1"/>
  <c r="AR42" i="1"/>
  <c r="AQ42" i="1"/>
  <c r="AP42" i="1"/>
  <c r="AS41" i="1"/>
  <c r="AR41" i="1"/>
  <c r="AQ41" i="1"/>
  <c r="AP41" i="1"/>
  <c r="AS40" i="1"/>
  <c r="AR40" i="1"/>
  <c r="AQ40" i="1"/>
  <c r="AP40" i="1"/>
  <c r="AS39" i="1"/>
  <c r="AR39" i="1"/>
  <c r="AQ39" i="1"/>
  <c r="AP39" i="1"/>
  <c r="AS38" i="1"/>
  <c r="AR38" i="1"/>
  <c r="AQ38" i="1"/>
  <c r="AP38" i="1"/>
  <c r="AS37" i="1"/>
  <c r="AR37" i="1"/>
  <c r="AQ37" i="1"/>
  <c r="AP37" i="1"/>
  <c r="AS36" i="1"/>
  <c r="AR36" i="1"/>
  <c r="AQ36" i="1"/>
  <c r="AP36" i="1"/>
  <c r="AS35" i="1"/>
  <c r="AR35" i="1"/>
  <c r="AQ35" i="1"/>
  <c r="AP35" i="1"/>
  <c r="AS34" i="1"/>
  <c r="AR34" i="1"/>
  <c r="AQ34" i="1"/>
  <c r="AP34" i="1"/>
  <c r="AS33" i="1"/>
  <c r="AR33" i="1"/>
  <c r="AQ33" i="1"/>
  <c r="AP33" i="1"/>
  <c r="AS32" i="1"/>
  <c r="AR32" i="1"/>
  <c r="AQ32" i="1"/>
  <c r="AP32" i="1"/>
  <c r="AS31" i="1"/>
  <c r="AR31" i="1"/>
  <c r="AQ31" i="1"/>
  <c r="AP31" i="1"/>
  <c r="AS30" i="1"/>
  <c r="AR30" i="1"/>
  <c r="AQ30" i="1"/>
  <c r="AP30" i="1"/>
  <c r="AS29" i="1"/>
  <c r="AR29" i="1"/>
  <c r="AQ29" i="1"/>
  <c r="AP29" i="1"/>
  <c r="AS28" i="1"/>
  <c r="AR28" i="1"/>
  <c r="AQ28" i="1"/>
  <c r="AP28" i="1"/>
  <c r="AS27" i="1"/>
  <c r="AR27" i="1"/>
  <c r="AQ27" i="1"/>
  <c r="AP27" i="1"/>
  <c r="AS26" i="1"/>
  <c r="AR26" i="1"/>
  <c r="AQ26" i="1"/>
  <c r="AP26" i="1"/>
  <c r="AS25" i="1"/>
  <c r="AR25" i="1"/>
  <c r="AQ25" i="1"/>
  <c r="AP25" i="1"/>
  <c r="AS24" i="1"/>
  <c r="AR24" i="1"/>
  <c r="AQ24" i="1"/>
  <c r="AP24" i="1"/>
  <c r="AS23" i="1"/>
  <c r="AR23" i="1"/>
  <c r="AQ23" i="1"/>
  <c r="AP23" i="1"/>
  <c r="AS22" i="1"/>
  <c r="AR22" i="1"/>
  <c r="AQ22" i="1"/>
  <c r="AP22" i="1"/>
  <c r="AS21" i="1"/>
  <c r="AR21" i="1"/>
  <c r="AQ21" i="1"/>
  <c r="AP21" i="1"/>
  <c r="AS20" i="1"/>
  <c r="AR20" i="1"/>
  <c r="AQ20" i="1"/>
  <c r="AP20" i="1"/>
  <c r="AS19" i="1"/>
  <c r="AR19" i="1"/>
  <c r="AQ19" i="1"/>
  <c r="AP19" i="1"/>
  <c r="AS18" i="1"/>
  <c r="AR18" i="1"/>
  <c r="AQ18" i="1"/>
  <c r="AP18" i="1"/>
  <c r="AS17" i="1"/>
  <c r="AR17" i="1"/>
  <c r="AQ17" i="1"/>
  <c r="AP17" i="1"/>
  <c r="AS16" i="1"/>
  <c r="AR16" i="1"/>
  <c r="AQ16" i="1"/>
  <c r="AP16" i="1"/>
  <c r="AS15" i="1"/>
  <c r="AR15" i="1"/>
  <c r="AQ15" i="1"/>
  <c r="AP15" i="1"/>
  <c r="AS14" i="1"/>
  <c r="AR14" i="1"/>
  <c r="AQ14" i="1"/>
  <c r="AP14" i="1"/>
  <c r="AS13" i="1"/>
  <c r="AR13" i="1"/>
  <c r="AQ13" i="1"/>
  <c r="AP13" i="1"/>
  <c r="AS12" i="1"/>
  <c r="AR12" i="1"/>
  <c r="AQ12" i="1"/>
  <c r="AP12" i="1"/>
  <c r="AS11" i="1"/>
  <c r="AR11" i="1"/>
  <c r="AQ11" i="1"/>
  <c r="AP11" i="1"/>
  <c r="AS10" i="1"/>
  <c r="AR10" i="1"/>
  <c r="AQ10" i="1"/>
  <c r="AP10" i="1"/>
  <c r="AS9" i="1"/>
  <c r="AR9" i="1"/>
  <c r="AQ9" i="1"/>
  <c r="AP9" i="1"/>
  <c r="AS8" i="1"/>
  <c r="AR8" i="1"/>
  <c r="AQ8" i="1"/>
  <c r="AP8" i="1"/>
  <c r="AS7" i="1"/>
  <c r="AR7" i="1"/>
  <c r="AQ7" i="1"/>
  <c r="AP7" i="1"/>
  <c r="AS6" i="1"/>
  <c r="AR6" i="1"/>
  <c r="AQ6" i="1"/>
  <c r="AP6" i="1"/>
  <c r="AS5" i="1"/>
  <c r="AR5" i="1"/>
  <c r="AQ5" i="1"/>
  <c r="AP5" i="1"/>
  <c r="AS4" i="1"/>
  <c r="AR4" i="1"/>
  <c r="AQ4" i="1"/>
  <c r="AP4" i="1"/>
  <c r="AS3" i="1"/>
  <c r="AR3" i="1"/>
  <c r="AQ3" i="1"/>
  <c r="AP3" i="1"/>
  <c r="AS2" i="1"/>
  <c r="AR2" i="1"/>
  <c r="AQ2" i="1"/>
  <c r="AP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</calcChain>
</file>

<file path=xl/sharedStrings.xml><?xml version="1.0" encoding="utf-8"?>
<sst xmlns="http://schemas.openxmlformats.org/spreadsheetml/2006/main" count="401" uniqueCount="141">
  <si>
    <t>lounge_code</t>
    <phoneticPr fontId="1" type="noConversion"/>
  </si>
  <si>
    <t>building</t>
    <phoneticPr fontId="1" type="noConversion"/>
  </si>
  <si>
    <t>campus</t>
    <phoneticPr fontId="1" type="noConversion"/>
  </si>
  <si>
    <t>lounge_name</t>
    <phoneticPr fontId="1" type="noConversion"/>
  </si>
  <si>
    <t>LG-POSCO 경영관</t>
    <phoneticPr fontId="1" type="noConversion"/>
  </si>
  <si>
    <t>인문 캠퍼스</t>
    <phoneticPr fontId="1" type="noConversion"/>
  </si>
  <si>
    <t>lounge_floor</t>
    <phoneticPr fontId="1" type="noConversion"/>
  </si>
  <si>
    <t>이명박 라운지</t>
    <phoneticPr fontId="1" type="noConversion"/>
  </si>
  <si>
    <t>박현주 라운지</t>
    <phoneticPr fontId="1" type="noConversion"/>
  </si>
  <si>
    <t>SUPEX홀 옆 라운지</t>
    <phoneticPr fontId="1" type="noConversion"/>
  </si>
  <si>
    <t>현대자동차경영관</t>
    <phoneticPr fontId="1" type="noConversion"/>
  </si>
  <si>
    <t>B3 라운지</t>
    <phoneticPr fontId="1" type="noConversion"/>
  </si>
  <si>
    <t>B3</t>
    <phoneticPr fontId="1" type="noConversion"/>
  </si>
  <si>
    <t>2F</t>
    <phoneticPr fontId="1" type="noConversion"/>
  </si>
  <si>
    <t>4F</t>
    <phoneticPr fontId="1" type="noConversion"/>
  </si>
  <si>
    <t>B1 라운지</t>
    <phoneticPr fontId="1" type="noConversion"/>
  </si>
  <si>
    <t>B1</t>
    <phoneticPr fontId="1" type="noConversion"/>
  </si>
  <si>
    <t>계단 라운지</t>
    <phoneticPr fontId="1" type="noConversion"/>
  </si>
  <si>
    <t>2층 라운지</t>
    <phoneticPr fontId="1" type="noConversion"/>
  </si>
  <si>
    <t>MBA 라운지</t>
    <phoneticPr fontId="1" type="noConversion"/>
  </si>
  <si>
    <t>1F</t>
    <phoneticPr fontId="1" type="noConversion"/>
  </si>
  <si>
    <t>장치평 라운지</t>
    <phoneticPr fontId="1" type="noConversion"/>
  </si>
  <si>
    <t>운초우선교육관</t>
    <phoneticPr fontId="1" type="noConversion"/>
  </si>
  <si>
    <t>라운지 1-1</t>
    <phoneticPr fontId="1" type="noConversion"/>
  </si>
  <si>
    <t>400라운지</t>
    <phoneticPr fontId="1" type="noConversion"/>
  </si>
  <si>
    <t>백주년기념삼성관</t>
    <phoneticPr fontId="1" type="noConversion"/>
  </si>
  <si>
    <t>중앙광장 지하</t>
    <phoneticPr fontId="1" type="noConversion"/>
  </si>
  <si>
    <t>B1-2 라운지</t>
    <phoneticPr fontId="1" type="noConversion"/>
  </si>
  <si>
    <t>하나은행 라운지</t>
    <phoneticPr fontId="1" type="noConversion"/>
  </si>
  <si>
    <t>SK미래관</t>
    <phoneticPr fontId="1" type="noConversion"/>
  </si>
  <si>
    <t>라운지 1-2</t>
    <phoneticPr fontId="1" type="noConversion"/>
  </si>
  <si>
    <t>라운지 1-3</t>
    <phoneticPr fontId="1" type="noConversion"/>
  </si>
  <si>
    <t>라운지 2-1</t>
    <phoneticPr fontId="1" type="noConversion"/>
  </si>
  <si>
    <t>309 로비라운지</t>
    <phoneticPr fontId="1" type="noConversion"/>
  </si>
  <si>
    <t>라운지 3-1</t>
    <phoneticPr fontId="1" type="noConversion"/>
  </si>
  <si>
    <t>라운지 3-2</t>
    <phoneticPr fontId="1" type="noConversion"/>
  </si>
  <si>
    <t>3F</t>
    <phoneticPr fontId="1" type="noConversion"/>
  </si>
  <si>
    <t>라운지 4-2</t>
    <phoneticPr fontId="1" type="noConversion"/>
  </si>
  <si>
    <t>라운지 4-3</t>
    <phoneticPr fontId="1" type="noConversion"/>
  </si>
  <si>
    <t>미디어관</t>
    <phoneticPr fontId="1" type="noConversion"/>
  </si>
  <si>
    <t>동원 라운지</t>
    <phoneticPr fontId="1" type="noConversion"/>
  </si>
  <si>
    <t>아리카페 라운지</t>
    <phoneticPr fontId="1" type="noConversion"/>
  </si>
  <si>
    <t>308라운지</t>
    <phoneticPr fontId="1" type="noConversion"/>
  </si>
  <si>
    <t>4.18기념관</t>
    <phoneticPr fontId="1" type="noConversion"/>
  </si>
  <si>
    <t>김정호 플로어</t>
    <phoneticPr fontId="1" type="noConversion"/>
  </si>
  <si>
    <t>한투스퀘어</t>
    <phoneticPr fontId="1" type="noConversion"/>
  </si>
  <si>
    <t>1층 라운지</t>
    <phoneticPr fontId="1" type="noConversion"/>
  </si>
  <si>
    <t>타이거프라자</t>
    <phoneticPr fontId="1" type="noConversion"/>
  </si>
  <si>
    <t>301 라운지</t>
    <phoneticPr fontId="1" type="noConversion"/>
  </si>
  <si>
    <t>302B 라운지</t>
    <phoneticPr fontId="1" type="noConversion"/>
  </si>
  <si>
    <t>401 라운지</t>
    <phoneticPr fontId="1" type="noConversion"/>
  </si>
  <si>
    <t>401A 라운지</t>
    <phoneticPr fontId="1" type="noConversion"/>
  </si>
  <si>
    <t>우당교육관</t>
    <phoneticPr fontId="1" type="noConversion"/>
  </si>
  <si>
    <t>동원글로벌리더십홀</t>
    <phoneticPr fontId="1" type="noConversion"/>
  </si>
  <si>
    <t>과학 캠퍼스</t>
    <phoneticPr fontId="1" type="noConversion"/>
  </si>
  <si>
    <t>우정정보관</t>
    <phoneticPr fontId="1" type="noConversion"/>
  </si>
  <si>
    <t>정운오IT교양관</t>
    <phoneticPr fontId="1" type="noConversion"/>
  </si>
  <si>
    <t>3층 라운지</t>
    <phoneticPr fontId="1" type="noConversion"/>
  </si>
  <si>
    <t>4층 라운지</t>
    <phoneticPr fontId="1" type="noConversion"/>
  </si>
  <si>
    <t>생명과학대학서관</t>
    <phoneticPr fontId="1" type="noConversion"/>
  </si>
  <si>
    <t>로봇융합관</t>
    <phoneticPr fontId="1" type="noConversion"/>
  </si>
  <si>
    <t>신공학관</t>
    <phoneticPr fontId="1" type="noConversion"/>
  </si>
  <si>
    <t>창의관</t>
    <phoneticPr fontId="1" type="noConversion"/>
  </si>
  <si>
    <t>공학관</t>
    <phoneticPr fontId="1" type="noConversion"/>
  </si>
  <si>
    <t>아산이학관</t>
    <phoneticPr fontId="1" type="noConversion"/>
  </si>
  <si>
    <t>하나과학관</t>
    <phoneticPr fontId="1" type="noConversion"/>
  </si>
  <si>
    <t>생명과학인의 숲 라운지</t>
    <phoneticPr fontId="1" type="noConversion"/>
  </si>
  <si>
    <t>메디힐지구환경관</t>
    <phoneticPr fontId="1" type="noConversion"/>
  </si>
  <si>
    <t>infrastructure</t>
    <phoneticPr fontId="1" type="noConversion"/>
  </si>
  <si>
    <t>프린터, 복사기</t>
    <phoneticPr fontId="1" type="noConversion"/>
  </si>
  <si>
    <t>정수기</t>
    <phoneticPr fontId="1" type="noConversion"/>
  </si>
  <si>
    <t>편의점, 카페</t>
    <phoneticPr fontId="1" type="noConversion"/>
  </si>
  <si>
    <t>편의점, 카페, 도서반납기, 정수기</t>
    <phoneticPr fontId="1" type="noConversion"/>
  </si>
  <si>
    <t>카페, 식당, 은행, 편의점</t>
    <phoneticPr fontId="1" type="noConversion"/>
  </si>
  <si>
    <t>카페</t>
    <phoneticPr fontId="1" type="noConversion"/>
  </si>
  <si>
    <t>라운지 3-4</t>
    <phoneticPr fontId="1" type="noConversion"/>
  </si>
  <si>
    <t>라운지 3-3</t>
    <phoneticPr fontId="1" type="noConversion"/>
  </si>
  <si>
    <t>정수기, 자판기</t>
    <phoneticPr fontId="1" type="noConversion"/>
  </si>
  <si>
    <t>프린터, 정수기, 도서반납기</t>
    <phoneticPr fontId="1" type="noConversion"/>
  </si>
  <si>
    <t>카페, 정수기, 식당</t>
    <phoneticPr fontId="1" type="noConversion"/>
  </si>
  <si>
    <t>자판기</t>
    <phoneticPr fontId="1" type="noConversion"/>
  </si>
  <si>
    <t>샤워실</t>
    <phoneticPr fontId="1" type="noConversion"/>
  </si>
  <si>
    <t>정수기, 프린터, 자판기</t>
    <phoneticPr fontId="1" type="noConversion"/>
  </si>
  <si>
    <t>은행</t>
    <phoneticPr fontId="1" type="noConversion"/>
  </si>
  <si>
    <t>자판기, 프린터, 도서반납기</t>
    <phoneticPr fontId="1" type="noConversion"/>
  </si>
  <si>
    <t>default_type</t>
    <phoneticPr fontId="1" type="noConversion"/>
  </si>
  <si>
    <t>default_table</t>
    <phoneticPr fontId="1" type="noConversion"/>
  </si>
  <si>
    <t>default_charge</t>
    <phoneticPr fontId="1" type="noConversion"/>
  </si>
  <si>
    <t>default_chair</t>
    <phoneticPr fontId="1" type="noConversion"/>
  </si>
  <si>
    <t>default_partition</t>
    <phoneticPr fontId="1" type="noConversion"/>
  </si>
  <si>
    <t>default_accessability</t>
    <phoneticPr fontId="1" type="noConversion"/>
  </si>
  <si>
    <t>default_brightness</t>
    <phoneticPr fontId="1" type="noConversion"/>
  </si>
  <si>
    <t>rule_eating</t>
    <phoneticPr fontId="1" type="noConversion"/>
  </si>
  <si>
    <t>오픈형</t>
    <phoneticPr fontId="1" type="noConversion"/>
  </si>
  <si>
    <t>룸형</t>
    <phoneticPr fontId="1" type="noConversion"/>
  </si>
  <si>
    <t>계단형</t>
    <phoneticPr fontId="1" type="noConversion"/>
  </si>
  <si>
    <t>4인 테이블, 1인 소파형 의자 및 테이블</t>
    <phoneticPr fontId="1" type="noConversion"/>
  </si>
  <si>
    <t>2인 테이블, 벽면 소파와 1인 의자 및 테이블</t>
    <phoneticPr fontId="1" type="noConversion"/>
  </si>
  <si>
    <t>지하 1층 라운지</t>
    <phoneticPr fontId="1" type="noConversion"/>
  </si>
  <si>
    <t>정수기, ATM</t>
    <phoneticPr fontId="1" type="noConversion"/>
  </si>
  <si>
    <t>4인 원형 테이블</t>
    <phoneticPr fontId="1" type="noConversion"/>
  </si>
  <si>
    <t>2인 테이블</t>
    <phoneticPr fontId="1" type="noConversion"/>
  </si>
  <si>
    <t>4인 테이블, 1인 소파형 의자 및 테이블, 다인용 소파형 의자 및 테이블</t>
    <phoneticPr fontId="1" type="noConversion"/>
  </si>
  <si>
    <t>4인 사각 테이블, 1인 소파형 의자 및 테이블</t>
    <phoneticPr fontId="1" type="noConversion"/>
  </si>
  <si>
    <t>5층 계단형 라운지</t>
    <phoneticPr fontId="1" type="noConversion"/>
  </si>
  <si>
    <t>5F</t>
    <phoneticPr fontId="1" type="noConversion"/>
  </si>
  <si>
    <t>계단형, 빈백</t>
    <phoneticPr fontId="1" type="noConversion"/>
  </si>
  <si>
    <t>open</t>
    <phoneticPr fontId="1" type="noConversion"/>
  </si>
  <si>
    <t>close</t>
    <phoneticPr fontId="1" type="noConversion"/>
  </si>
  <si>
    <t>mon_open</t>
    <phoneticPr fontId="1" type="noConversion"/>
  </si>
  <si>
    <t>tue_open</t>
    <phoneticPr fontId="1" type="noConversion"/>
  </si>
  <si>
    <t>wed_open</t>
    <phoneticPr fontId="1" type="noConversion"/>
  </si>
  <si>
    <t>thu_open</t>
    <phoneticPr fontId="1" type="noConversion"/>
  </si>
  <si>
    <t>fri_open</t>
    <phoneticPr fontId="1" type="noConversion"/>
  </si>
  <si>
    <t>sat_open</t>
    <phoneticPr fontId="1" type="noConversion"/>
  </si>
  <si>
    <t>sun_open</t>
    <phoneticPr fontId="1" type="noConversion"/>
  </si>
  <si>
    <t>sensor_noise</t>
    <phoneticPr fontId="1" type="noConversion"/>
  </si>
  <si>
    <t>crowd_0830</t>
    <phoneticPr fontId="1" type="noConversion"/>
  </si>
  <si>
    <t>crowd_0930</t>
    <phoneticPr fontId="1" type="noConversion"/>
  </si>
  <si>
    <t>crowd_1030</t>
    <phoneticPr fontId="1" type="noConversion"/>
  </si>
  <si>
    <t>crowd_1130</t>
  </si>
  <si>
    <t>crowd_1230</t>
  </si>
  <si>
    <t>crowd_1330</t>
  </si>
  <si>
    <t>crowd_1430</t>
  </si>
  <si>
    <t>crowd_1530</t>
  </si>
  <si>
    <t>crowd_1630</t>
  </si>
  <si>
    <t>crowd_1730</t>
  </si>
  <si>
    <t>crowd_1830</t>
  </si>
  <si>
    <t>crowd_1930</t>
  </si>
  <si>
    <t>crowd_2030</t>
  </si>
  <si>
    <t>crowd_2130</t>
  </si>
  <si>
    <t>crowd_2230</t>
  </si>
  <si>
    <t>default_crowd_level</t>
    <phoneticPr fontId="1" type="noConversion"/>
  </si>
  <si>
    <t>default_usage_time</t>
    <phoneticPr fontId="1" type="noConversion"/>
  </si>
  <si>
    <t>crowd_mon</t>
    <phoneticPr fontId="1" type="noConversion"/>
  </si>
  <si>
    <t>crowd_tue</t>
    <phoneticPr fontId="1" type="noConversion"/>
  </si>
  <si>
    <t>crowd_wed</t>
    <phoneticPr fontId="1" type="noConversion"/>
  </si>
  <si>
    <t>crowd_thu</t>
    <phoneticPr fontId="1" type="noConversion"/>
  </si>
  <si>
    <t>crowd_fri</t>
    <phoneticPr fontId="1" type="noConversion"/>
  </si>
  <si>
    <t>crowd_sat</t>
    <phoneticPr fontId="1" type="noConversion"/>
  </si>
  <si>
    <t>crowd_sun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</si>
</sst>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F940-5895-D443-8765-46AFE2DAB8ED}">
  <dimension ref="A1:AV6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1" sqref="D11"/>
    </sheetView>
  </sheetViews>
  <sheetFormatPr baseColWidth="10" defaultRowHeight="18"/>
  <cols>
    <col min="1" max="1" width="11.42578125" bestFit="1" customWidth="1"/>
    <col min="2" max="2" width="10.85546875" bestFit="1" customWidth="1"/>
    <col min="3" max="3" width="17.5703125" bestFit="1" customWidth="1"/>
    <col min="4" max="4" width="20.7109375" bestFit="1" customWidth="1"/>
    <col min="5" max="5" width="11.28515625" bestFit="1" customWidth="1"/>
    <col min="6" max="6" width="28.42578125" bestFit="1" customWidth="1"/>
    <col min="8" max="8" width="59.85546875" bestFit="1" customWidth="1"/>
  </cols>
  <sheetData>
    <row r="1" spans="1:48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68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</row>
    <row r="2" spans="1:48">
      <c r="A2">
        <v>10001</v>
      </c>
      <c r="B2" t="s">
        <v>5</v>
      </c>
      <c r="C2" t="s">
        <v>4</v>
      </c>
      <c r="D2" t="s">
        <v>7</v>
      </c>
      <c r="E2" t="s">
        <v>13</v>
      </c>
      <c r="F2" t="s">
        <v>69</v>
      </c>
      <c r="G2" t="s">
        <v>93</v>
      </c>
      <c r="H2" t="s">
        <v>96</v>
      </c>
      <c r="I2" t="b">
        <v>1</v>
      </c>
      <c r="M2">
        <v>80</v>
      </c>
      <c r="N2" t="b">
        <v>0</v>
      </c>
      <c r="O2" s="2">
        <v>0.35416666666666669</v>
      </c>
      <c r="P2" s="2">
        <v>0.9375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>
        <v>50</v>
      </c>
      <c r="Y2">
        <f ca="1">Y$63*RANDBETWEEN(50,200)*$AN2/100/100</f>
        <v>10.24</v>
      </c>
      <c r="Z2">
        <f t="shared" ref="Z2:AM17" ca="1" si="0">Z$63*RANDBETWEEN(50,200)*$AN2/100/100</f>
        <v>39.799999999999997</v>
      </c>
      <c r="AA2">
        <f t="shared" ca="1" si="0"/>
        <v>54</v>
      </c>
      <c r="AB2">
        <f t="shared" ca="1" si="0"/>
        <v>44.64</v>
      </c>
      <c r="AC2">
        <f t="shared" ca="1" si="0"/>
        <v>122.88</v>
      </c>
      <c r="AD2">
        <f t="shared" ca="1" si="0"/>
        <v>96.72</v>
      </c>
      <c r="AE2">
        <f t="shared" ca="1" si="0"/>
        <v>49.28</v>
      </c>
      <c r="AF2">
        <f t="shared" ca="1" si="0"/>
        <v>70.400000000000006</v>
      </c>
      <c r="AG2">
        <f t="shared" ca="1" si="0"/>
        <v>52.64</v>
      </c>
      <c r="AH2">
        <f t="shared" ca="1" si="0"/>
        <v>18</v>
      </c>
      <c r="AI2">
        <f t="shared" ca="1" si="0"/>
        <v>23.88</v>
      </c>
      <c r="AJ2">
        <f t="shared" ca="1" si="0"/>
        <v>7.88</v>
      </c>
      <c r="AK2">
        <f t="shared" ca="1" si="0"/>
        <v>3.24</v>
      </c>
      <c r="AL2">
        <f t="shared" ca="1" si="0"/>
        <v>4.4000000000000004</v>
      </c>
      <c r="AM2">
        <f t="shared" ca="1" si="0"/>
        <v>3.48</v>
      </c>
      <c r="AN2">
        <v>80</v>
      </c>
      <c r="AO2">
        <v>90</v>
      </c>
      <c r="AP2">
        <f ca="1">$AN2*RANDBETWEEN(90,110)/100</f>
        <v>84.8</v>
      </c>
      <c r="AQ2">
        <f t="shared" ref="AQ2:AT17" ca="1" si="1">$AN2*RANDBETWEEN(90,110)/100</f>
        <v>82.4</v>
      </c>
      <c r="AR2">
        <f t="shared" ca="1" si="1"/>
        <v>86.4</v>
      </c>
      <c r="AS2">
        <f t="shared" ca="1" si="1"/>
        <v>76.8</v>
      </c>
      <c r="AT2">
        <f ca="1">$AN2*RANDBETWEEN(40,55)/100</f>
        <v>43.2</v>
      </c>
      <c r="AU2">
        <f ca="1">IF(V2=TRUE(),$AN2*RANDBETWEEN(5,20)/100,0)</f>
        <v>12.8</v>
      </c>
      <c r="AV2">
        <f ca="1">IF(W2=TRUE(),$AN2*RANDBETWEEN(5,20)/100,0)</f>
        <v>10.4</v>
      </c>
    </row>
    <row r="3" spans="1:48">
      <c r="A3">
        <v>10002</v>
      </c>
      <c r="B3" t="s">
        <v>5</v>
      </c>
      <c r="C3" t="s">
        <v>4</v>
      </c>
      <c r="D3" t="s">
        <v>8</v>
      </c>
      <c r="E3" t="s">
        <v>14</v>
      </c>
      <c r="F3" t="s">
        <v>70</v>
      </c>
      <c r="G3" t="s">
        <v>94</v>
      </c>
      <c r="H3" t="s">
        <v>97</v>
      </c>
      <c r="I3" t="b">
        <v>1</v>
      </c>
      <c r="M3">
        <v>20</v>
      </c>
      <c r="N3" t="b">
        <v>0</v>
      </c>
      <c r="O3" s="2">
        <v>0.35416666666666669</v>
      </c>
      <c r="P3" s="2">
        <v>0.9375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>
        <v>10</v>
      </c>
      <c r="Y3">
        <f t="shared" ref="Y3:AM34" ca="1" si="2">Y$63*RANDBETWEEN(50,200)*$AN3/100/100</f>
        <v>5.97</v>
      </c>
      <c r="Z3">
        <f t="shared" ca="1" si="0"/>
        <v>4.6500000000000004</v>
      </c>
      <c r="AA3">
        <f t="shared" ca="1" si="0"/>
        <v>23.895</v>
      </c>
      <c r="AB3">
        <f t="shared" ca="1" si="0"/>
        <v>14.67</v>
      </c>
      <c r="AC3">
        <f t="shared" ca="1" si="0"/>
        <v>39.36</v>
      </c>
      <c r="AD3">
        <f t="shared" ca="1" si="0"/>
        <v>10.53</v>
      </c>
      <c r="AE3">
        <f t="shared" ca="1" si="0"/>
        <v>33.18</v>
      </c>
      <c r="AF3">
        <f t="shared" ca="1" si="0"/>
        <v>18.149999999999999</v>
      </c>
      <c r="AG3">
        <f t="shared" ca="1" si="0"/>
        <v>16.38</v>
      </c>
      <c r="AH3">
        <f t="shared" ca="1" si="0"/>
        <v>6.12</v>
      </c>
      <c r="AI3">
        <f t="shared" ca="1" si="0"/>
        <v>2.2949999999999999</v>
      </c>
      <c r="AJ3">
        <f t="shared" ca="1" si="0"/>
        <v>2.2200000000000002</v>
      </c>
      <c r="AK3">
        <f t="shared" ca="1" si="0"/>
        <v>1.395</v>
      </c>
      <c r="AL3">
        <f t="shared" ca="1" si="0"/>
        <v>1.47</v>
      </c>
      <c r="AM3">
        <f t="shared" ca="1" si="0"/>
        <v>1.41</v>
      </c>
      <c r="AN3">
        <v>30</v>
      </c>
      <c r="AO3">
        <v>120</v>
      </c>
      <c r="AP3">
        <f t="shared" ref="AP3:AS34" ca="1" si="3">$AN3*RANDBETWEEN(90,110)/100</f>
        <v>27.3</v>
      </c>
      <c r="AQ3">
        <f t="shared" ca="1" si="1"/>
        <v>28.2</v>
      </c>
      <c r="AR3">
        <f t="shared" ca="1" si="1"/>
        <v>30.6</v>
      </c>
      <c r="AS3">
        <f t="shared" ca="1" si="1"/>
        <v>28.5</v>
      </c>
      <c r="AT3">
        <f t="shared" ref="AT3:AT62" ca="1" si="4">$AN3*RANDBETWEEN(40,55)/100</f>
        <v>16.5</v>
      </c>
      <c r="AU3">
        <f t="shared" ref="AU3:AU62" ca="1" si="5">IF(V3=TRUE(),$AN3*RANDBETWEEN(5,20)/100,0)</f>
        <v>3.3</v>
      </c>
      <c r="AV3">
        <f t="shared" ref="AV3:AV62" ca="1" si="6">IF(W3=TRUE(),$AN3*RANDBETWEEN(5,20)/100,0)</f>
        <v>3.3</v>
      </c>
    </row>
    <row r="4" spans="1:48">
      <c r="A4">
        <v>10003</v>
      </c>
      <c r="B4" t="s">
        <v>5</v>
      </c>
      <c r="C4" t="s">
        <v>4</v>
      </c>
      <c r="D4" t="s">
        <v>9</v>
      </c>
      <c r="E4" t="s">
        <v>14</v>
      </c>
      <c r="F4" t="s">
        <v>70</v>
      </c>
      <c r="G4" t="s">
        <v>93</v>
      </c>
      <c r="H4" t="s">
        <v>96</v>
      </c>
      <c r="I4" t="b">
        <v>0</v>
      </c>
      <c r="M4">
        <v>80</v>
      </c>
      <c r="N4" t="b">
        <v>0</v>
      </c>
      <c r="O4" s="2">
        <v>0.35416666666666669</v>
      </c>
      <c r="P4" s="2">
        <v>0.9375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>
        <v>30</v>
      </c>
      <c r="Y4">
        <f t="shared" ca="1" si="2"/>
        <v>4.5999999999999996</v>
      </c>
      <c r="Z4">
        <f t="shared" ca="1" si="0"/>
        <v>15.125</v>
      </c>
      <c r="AA4">
        <f t="shared" ca="1" si="0"/>
        <v>30.375</v>
      </c>
      <c r="AB4">
        <f t="shared" ca="1" si="0"/>
        <v>10.8</v>
      </c>
      <c r="AC4">
        <f t="shared" ca="1" si="0"/>
        <v>61.6</v>
      </c>
      <c r="AD4">
        <f t="shared" ca="1" si="0"/>
        <v>41.6</v>
      </c>
      <c r="AE4">
        <f t="shared" ca="1" si="0"/>
        <v>45.5</v>
      </c>
      <c r="AF4">
        <f t="shared" ca="1" si="0"/>
        <v>50.05</v>
      </c>
      <c r="AG4">
        <f t="shared" ca="1" si="0"/>
        <v>67.55</v>
      </c>
      <c r="AH4">
        <f t="shared" ca="1" si="0"/>
        <v>15.6</v>
      </c>
      <c r="AI4">
        <f t="shared" ca="1" si="0"/>
        <v>10.8</v>
      </c>
      <c r="AJ4">
        <f t="shared" ca="1" si="0"/>
        <v>2.7250000000000001</v>
      </c>
      <c r="AK4">
        <f t="shared" ca="1" si="0"/>
        <v>3.625</v>
      </c>
      <c r="AL4">
        <f t="shared" ca="1" si="0"/>
        <v>2.65</v>
      </c>
      <c r="AM4">
        <f t="shared" ca="1" si="0"/>
        <v>5</v>
      </c>
      <c r="AN4">
        <v>50</v>
      </c>
      <c r="AO4">
        <v>60</v>
      </c>
      <c r="AP4">
        <f t="shared" ca="1" si="3"/>
        <v>45</v>
      </c>
      <c r="AQ4">
        <f t="shared" ca="1" si="1"/>
        <v>45</v>
      </c>
      <c r="AR4">
        <f t="shared" ca="1" si="1"/>
        <v>51.5</v>
      </c>
      <c r="AS4">
        <f t="shared" ca="1" si="1"/>
        <v>49.5</v>
      </c>
      <c r="AT4">
        <f t="shared" ca="1" si="4"/>
        <v>21</v>
      </c>
      <c r="AU4">
        <f t="shared" ca="1" si="5"/>
        <v>6.5</v>
      </c>
      <c r="AV4">
        <f t="shared" ca="1" si="6"/>
        <v>3.5</v>
      </c>
    </row>
    <row r="5" spans="1:48">
      <c r="A5">
        <v>10004</v>
      </c>
      <c r="B5" t="s">
        <v>5</v>
      </c>
      <c r="C5" t="s">
        <v>10</v>
      </c>
      <c r="D5" t="s">
        <v>11</v>
      </c>
      <c r="E5" t="s">
        <v>12</v>
      </c>
      <c r="G5" t="s">
        <v>93</v>
      </c>
      <c r="H5" t="s">
        <v>103</v>
      </c>
      <c r="I5" t="b">
        <v>1</v>
      </c>
      <c r="M5">
        <v>50</v>
      </c>
      <c r="N5" t="b">
        <v>0</v>
      </c>
      <c r="O5" s="2">
        <v>0.35416666666666669</v>
      </c>
      <c r="P5" s="2">
        <v>0.9375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>
        <v>25</v>
      </c>
      <c r="Y5">
        <f t="shared" ca="1" si="2"/>
        <v>5.52</v>
      </c>
      <c r="Z5">
        <f t="shared" ca="1" si="0"/>
        <v>25.2</v>
      </c>
      <c r="AA5">
        <f t="shared" ca="1" si="0"/>
        <v>24.03</v>
      </c>
      <c r="AB5">
        <f t="shared" ca="1" si="0"/>
        <v>34.56</v>
      </c>
      <c r="AC5">
        <f t="shared" ca="1" si="0"/>
        <v>72.48</v>
      </c>
      <c r="AD5">
        <f t="shared" ca="1" si="0"/>
        <v>62.79</v>
      </c>
      <c r="AE5">
        <f t="shared" ca="1" si="0"/>
        <v>36.54</v>
      </c>
      <c r="AF5">
        <f t="shared" ca="1" si="0"/>
        <v>35.31</v>
      </c>
      <c r="AG5">
        <f t="shared" ca="1" si="0"/>
        <v>48.72</v>
      </c>
      <c r="AH5">
        <f t="shared" ca="1" si="0"/>
        <v>14.76</v>
      </c>
      <c r="AI5">
        <f t="shared" ca="1" si="0"/>
        <v>8.73</v>
      </c>
      <c r="AJ5">
        <f t="shared" ca="1" si="0"/>
        <v>2.19</v>
      </c>
      <c r="AK5">
        <f t="shared" ca="1" si="0"/>
        <v>5.61</v>
      </c>
      <c r="AL5">
        <f t="shared" ca="1" si="0"/>
        <v>4.7699999999999996</v>
      </c>
      <c r="AM5">
        <f t="shared" ca="1" si="0"/>
        <v>1.65</v>
      </c>
      <c r="AN5">
        <v>60</v>
      </c>
      <c r="AO5">
        <v>100</v>
      </c>
      <c r="AP5">
        <f t="shared" ca="1" si="3"/>
        <v>56.4</v>
      </c>
      <c r="AQ5">
        <f t="shared" ca="1" si="1"/>
        <v>65.400000000000006</v>
      </c>
      <c r="AR5">
        <f t="shared" ca="1" si="1"/>
        <v>59.4</v>
      </c>
      <c r="AS5">
        <f t="shared" ca="1" si="1"/>
        <v>61.8</v>
      </c>
      <c r="AT5">
        <f t="shared" ca="1" si="4"/>
        <v>30.6</v>
      </c>
      <c r="AU5">
        <f t="shared" ca="1" si="5"/>
        <v>10.199999999999999</v>
      </c>
      <c r="AV5">
        <f t="shared" ca="1" si="6"/>
        <v>4.8</v>
      </c>
    </row>
    <row r="6" spans="1:48">
      <c r="A6">
        <v>10005</v>
      </c>
      <c r="B6" t="s">
        <v>5</v>
      </c>
      <c r="C6" t="s">
        <v>10</v>
      </c>
      <c r="D6" t="s">
        <v>15</v>
      </c>
      <c r="E6" t="s">
        <v>16</v>
      </c>
      <c r="F6" t="s">
        <v>71</v>
      </c>
      <c r="G6" t="s">
        <v>93</v>
      </c>
      <c r="H6" t="s">
        <v>102</v>
      </c>
      <c r="I6" t="b">
        <v>1</v>
      </c>
      <c r="M6">
        <v>60</v>
      </c>
      <c r="N6" t="b">
        <v>0</v>
      </c>
      <c r="O6" s="2">
        <v>0.35416666666666669</v>
      </c>
      <c r="P6" s="2">
        <v>0.9375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>
        <v>25</v>
      </c>
      <c r="Y6">
        <f t="shared" ca="1" si="2"/>
        <v>4.2</v>
      </c>
      <c r="Z6">
        <f t="shared" ca="1" si="0"/>
        <v>13.5</v>
      </c>
      <c r="AA6">
        <f t="shared" ca="1" si="0"/>
        <v>26.324999999999999</v>
      </c>
      <c r="AB6">
        <f t="shared" ca="1" si="0"/>
        <v>28.65</v>
      </c>
      <c r="AC6">
        <f t="shared" ca="1" si="0"/>
        <v>44</v>
      </c>
      <c r="AD6">
        <f t="shared" ca="1" si="0"/>
        <v>48.75</v>
      </c>
      <c r="AE6">
        <f t="shared" ca="1" si="0"/>
        <v>48.3</v>
      </c>
      <c r="AF6">
        <f t="shared" ca="1" si="0"/>
        <v>53.625</v>
      </c>
      <c r="AG6">
        <f t="shared" ca="1" si="0"/>
        <v>34.299999999999997</v>
      </c>
      <c r="AH6">
        <f t="shared" ca="1" si="0"/>
        <v>23.25</v>
      </c>
      <c r="AI6">
        <f t="shared" ca="1" si="0"/>
        <v>13.875</v>
      </c>
      <c r="AJ6">
        <f t="shared" ca="1" si="0"/>
        <v>2.9249999999999998</v>
      </c>
      <c r="AK6">
        <f t="shared" ca="1" si="0"/>
        <v>2.8</v>
      </c>
      <c r="AL6">
        <f t="shared" ca="1" si="0"/>
        <v>2.7749999999999999</v>
      </c>
      <c r="AM6">
        <f t="shared" ca="1" si="0"/>
        <v>3</v>
      </c>
      <c r="AN6">
        <v>50</v>
      </c>
      <c r="AO6">
        <v>90</v>
      </c>
      <c r="AP6">
        <f t="shared" ca="1" si="3"/>
        <v>53</v>
      </c>
      <c r="AQ6">
        <f t="shared" ca="1" si="1"/>
        <v>48.5</v>
      </c>
      <c r="AR6">
        <f t="shared" ca="1" si="1"/>
        <v>51</v>
      </c>
      <c r="AS6">
        <f t="shared" ca="1" si="1"/>
        <v>50.5</v>
      </c>
      <c r="AT6">
        <f t="shared" ca="1" si="4"/>
        <v>26</v>
      </c>
      <c r="AU6">
        <f t="shared" ca="1" si="5"/>
        <v>9</v>
      </c>
      <c r="AV6">
        <f t="shared" ca="1" si="6"/>
        <v>5</v>
      </c>
    </row>
    <row r="7" spans="1:48">
      <c r="A7">
        <v>10006</v>
      </c>
      <c r="B7" t="s">
        <v>5</v>
      </c>
      <c r="C7" t="s">
        <v>10</v>
      </c>
      <c r="D7" t="s">
        <v>17</v>
      </c>
      <c r="E7" t="s">
        <v>20</v>
      </c>
      <c r="G7" t="s">
        <v>95</v>
      </c>
      <c r="H7" t="s">
        <v>95</v>
      </c>
      <c r="I7" t="b">
        <v>0</v>
      </c>
      <c r="M7">
        <v>70</v>
      </c>
      <c r="N7" t="b">
        <v>1</v>
      </c>
      <c r="O7" s="2">
        <v>0.35416666666666669</v>
      </c>
      <c r="P7" s="2">
        <v>0.9375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>
        <v>40</v>
      </c>
      <c r="Y7">
        <f t="shared" ca="1" si="2"/>
        <v>5.6</v>
      </c>
      <c r="Z7">
        <f t="shared" ca="1" si="0"/>
        <v>13.25</v>
      </c>
      <c r="AA7">
        <f t="shared" ca="1" si="0"/>
        <v>34.424999999999997</v>
      </c>
      <c r="AB7">
        <f t="shared" ca="1" si="0"/>
        <v>24.9</v>
      </c>
      <c r="AC7">
        <f t="shared" ca="1" si="0"/>
        <v>46</v>
      </c>
      <c r="AD7">
        <f t="shared" ca="1" si="0"/>
        <v>31.2</v>
      </c>
      <c r="AE7">
        <f t="shared" ca="1" si="0"/>
        <v>42.7</v>
      </c>
      <c r="AF7">
        <f t="shared" ca="1" si="0"/>
        <v>24.2</v>
      </c>
      <c r="AG7">
        <f t="shared" ca="1" si="0"/>
        <v>22.05</v>
      </c>
      <c r="AH7">
        <f t="shared" ca="1" si="0"/>
        <v>22.5</v>
      </c>
      <c r="AI7">
        <f t="shared" ca="1" si="0"/>
        <v>9.15</v>
      </c>
      <c r="AJ7">
        <f t="shared" ca="1" si="0"/>
        <v>1.575</v>
      </c>
      <c r="AK7">
        <f t="shared" ca="1" si="0"/>
        <v>5</v>
      </c>
      <c r="AL7">
        <f t="shared" ca="1" si="0"/>
        <v>3.1749999999999998</v>
      </c>
      <c r="AM7">
        <f t="shared" ca="1" si="0"/>
        <v>1.325</v>
      </c>
      <c r="AN7">
        <v>50</v>
      </c>
      <c r="AO7">
        <v>20</v>
      </c>
      <c r="AP7">
        <f t="shared" ca="1" si="3"/>
        <v>46.5</v>
      </c>
      <c r="AQ7">
        <f t="shared" ca="1" si="1"/>
        <v>53</v>
      </c>
      <c r="AR7">
        <f t="shared" ca="1" si="1"/>
        <v>45.5</v>
      </c>
      <c r="AS7">
        <f t="shared" ca="1" si="1"/>
        <v>50</v>
      </c>
      <c r="AT7">
        <f t="shared" ca="1" si="4"/>
        <v>27.5</v>
      </c>
      <c r="AU7">
        <f t="shared" ca="1" si="5"/>
        <v>8</v>
      </c>
      <c r="AV7">
        <f t="shared" ca="1" si="6"/>
        <v>9.5</v>
      </c>
    </row>
    <row r="8" spans="1:48">
      <c r="A8">
        <v>10007</v>
      </c>
      <c r="B8" t="s">
        <v>5</v>
      </c>
      <c r="C8" t="s">
        <v>10</v>
      </c>
      <c r="D8" t="s">
        <v>18</v>
      </c>
      <c r="E8" t="s">
        <v>13</v>
      </c>
      <c r="G8" t="s">
        <v>93</v>
      </c>
      <c r="I8" t="b">
        <v>1</v>
      </c>
      <c r="M8">
        <v>50</v>
      </c>
      <c r="N8" t="b">
        <v>0</v>
      </c>
      <c r="O8" s="2">
        <v>0.35416666666666669</v>
      </c>
      <c r="P8" s="2">
        <v>0.9375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>
        <v>40</v>
      </c>
      <c r="Y8">
        <f t="shared" ca="1" si="2"/>
        <v>6</v>
      </c>
      <c r="Z8">
        <f t="shared" ca="1" si="0"/>
        <v>8.3000000000000007</v>
      </c>
      <c r="AA8">
        <f t="shared" ca="1" si="0"/>
        <v>22.5</v>
      </c>
      <c r="AB8">
        <f t="shared" ca="1" si="0"/>
        <v>10.68</v>
      </c>
      <c r="AC8">
        <f t="shared" ca="1" si="0"/>
        <v>35.200000000000003</v>
      </c>
      <c r="AD8">
        <f t="shared" ca="1" si="0"/>
        <v>32.24</v>
      </c>
      <c r="AE8">
        <f t="shared" ca="1" si="0"/>
        <v>22.96</v>
      </c>
      <c r="AF8">
        <f t="shared" ca="1" si="0"/>
        <v>39.159999999999997</v>
      </c>
      <c r="AG8">
        <f t="shared" ca="1" si="0"/>
        <v>21.28</v>
      </c>
      <c r="AH8">
        <f t="shared" ca="1" si="0"/>
        <v>12</v>
      </c>
      <c r="AI8">
        <f t="shared" ca="1" si="0"/>
        <v>3.6</v>
      </c>
      <c r="AJ8">
        <f t="shared" ca="1" si="0"/>
        <v>3.58</v>
      </c>
      <c r="AK8">
        <f t="shared" ca="1" si="0"/>
        <v>1.7</v>
      </c>
      <c r="AL8">
        <f t="shared" ca="1" si="0"/>
        <v>2.82</v>
      </c>
      <c r="AM8">
        <f t="shared" ca="1" si="0"/>
        <v>2.56</v>
      </c>
      <c r="AN8">
        <v>40</v>
      </c>
      <c r="AO8">
        <v>30</v>
      </c>
      <c r="AP8">
        <f t="shared" ca="1" si="3"/>
        <v>38.799999999999997</v>
      </c>
      <c r="AQ8">
        <f t="shared" ca="1" si="1"/>
        <v>40</v>
      </c>
      <c r="AR8">
        <f t="shared" ca="1" si="1"/>
        <v>41.2</v>
      </c>
      <c r="AS8">
        <f t="shared" ca="1" si="1"/>
        <v>41.2</v>
      </c>
      <c r="AT8">
        <f t="shared" ca="1" si="4"/>
        <v>19.2</v>
      </c>
      <c r="AU8">
        <f t="shared" ca="1" si="5"/>
        <v>6.8</v>
      </c>
      <c r="AV8">
        <f t="shared" ca="1" si="6"/>
        <v>5.2</v>
      </c>
    </row>
    <row r="9" spans="1:48">
      <c r="A9">
        <v>10008</v>
      </c>
      <c r="B9" t="s">
        <v>5</v>
      </c>
      <c r="C9" t="s">
        <v>10</v>
      </c>
      <c r="D9" t="s">
        <v>19</v>
      </c>
      <c r="E9" t="s">
        <v>14</v>
      </c>
      <c r="F9" t="s">
        <v>70</v>
      </c>
      <c r="G9" t="s">
        <v>93</v>
      </c>
      <c r="H9" t="s">
        <v>103</v>
      </c>
      <c r="I9" t="b">
        <v>1</v>
      </c>
      <c r="M9">
        <v>60</v>
      </c>
      <c r="N9" t="b">
        <v>0</v>
      </c>
      <c r="O9" s="2">
        <v>0.35416666666666669</v>
      </c>
      <c r="P9" s="2">
        <v>0.9375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>
        <v>30</v>
      </c>
      <c r="Y9">
        <f t="shared" ca="1" si="2"/>
        <v>5.61</v>
      </c>
      <c r="Z9">
        <f t="shared" ca="1" si="0"/>
        <v>8.1</v>
      </c>
      <c r="AA9">
        <f t="shared" ca="1" si="0"/>
        <v>7.56</v>
      </c>
      <c r="AB9">
        <f t="shared" ca="1" si="0"/>
        <v>17.64</v>
      </c>
      <c r="AC9">
        <f t="shared" ca="1" si="0"/>
        <v>40.32</v>
      </c>
      <c r="AD9">
        <f t="shared" ca="1" si="0"/>
        <v>9.75</v>
      </c>
      <c r="AE9">
        <f t="shared" ca="1" si="0"/>
        <v>37.17</v>
      </c>
      <c r="AF9">
        <f t="shared" ca="1" si="0"/>
        <v>26.234999999999999</v>
      </c>
      <c r="AG9">
        <f t="shared" ca="1" si="0"/>
        <v>34.020000000000003</v>
      </c>
      <c r="AH9">
        <f t="shared" ca="1" si="0"/>
        <v>17.91</v>
      </c>
      <c r="AI9">
        <f t="shared" ca="1" si="0"/>
        <v>2.835</v>
      </c>
      <c r="AJ9">
        <f t="shared" ca="1" si="0"/>
        <v>1.17</v>
      </c>
      <c r="AK9">
        <f t="shared" ca="1" si="0"/>
        <v>2.6549999999999998</v>
      </c>
      <c r="AL9">
        <f t="shared" ca="1" si="0"/>
        <v>2.5350000000000001</v>
      </c>
      <c r="AM9">
        <f t="shared" ca="1" si="0"/>
        <v>0.99</v>
      </c>
      <c r="AN9">
        <v>30</v>
      </c>
      <c r="AO9">
        <v>50</v>
      </c>
      <c r="AP9">
        <f t="shared" ca="1" si="3"/>
        <v>29.7</v>
      </c>
      <c r="AQ9">
        <f t="shared" ca="1" si="1"/>
        <v>28.8</v>
      </c>
      <c r="AR9">
        <f t="shared" ca="1" si="1"/>
        <v>30.6</v>
      </c>
      <c r="AS9">
        <f t="shared" ca="1" si="1"/>
        <v>29.7</v>
      </c>
      <c r="AT9">
        <f t="shared" ca="1" si="4"/>
        <v>16.5</v>
      </c>
      <c r="AU9">
        <f t="shared" ca="1" si="5"/>
        <v>2.4</v>
      </c>
      <c r="AV9">
        <f t="shared" ca="1" si="6"/>
        <v>4.2</v>
      </c>
    </row>
    <row r="10" spans="1:48">
      <c r="A10">
        <v>10009</v>
      </c>
      <c r="B10" t="s">
        <v>5</v>
      </c>
      <c r="C10" t="s">
        <v>10</v>
      </c>
      <c r="D10" t="s">
        <v>21</v>
      </c>
      <c r="E10" t="s">
        <v>14</v>
      </c>
      <c r="F10" t="s">
        <v>70</v>
      </c>
      <c r="G10" t="s">
        <v>93</v>
      </c>
      <c r="H10" t="s">
        <v>103</v>
      </c>
      <c r="I10" t="b">
        <v>1</v>
      </c>
      <c r="M10">
        <v>60</v>
      </c>
      <c r="N10" t="b">
        <v>0</v>
      </c>
      <c r="O10" s="2">
        <v>0.35416666666666669</v>
      </c>
      <c r="P10" s="2">
        <v>0.9375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>
        <v>30</v>
      </c>
      <c r="Y10">
        <f t="shared" ca="1" si="2"/>
        <v>3.99</v>
      </c>
      <c r="Z10">
        <f t="shared" ca="1" si="0"/>
        <v>8.625</v>
      </c>
      <c r="AA10">
        <f t="shared" ca="1" si="0"/>
        <v>11.34</v>
      </c>
      <c r="AB10">
        <f t="shared" ca="1" si="0"/>
        <v>14.94</v>
      </c>
      <c r="AC10">
        <f t="shared" ca="1" si="0"/>
        <v>45.12</v>
      </c>
      <c r="AD10">
        <f t="shared" ca="1" si="0"/>
        <v>22.035</v>
      </c>
      <c r="AE10">
        <f t="shared" ca="1" si="0"/>
        <v>17.850000000000001</v>
      </c>
      <c r="AF10">
        <f t="shared" ca="1" si="0"/>
        <v>31.184999999999999</v>
      </c>
      <c r="AG10">
        <f t="shared" ca="1" si="0"/>
        <v>19.53</v>
      </c>
      <c r="AH10">
        <f t="shared" ca="1" si="0"/>
        <v>6.66</v>
      </c>
      <c r="AI10">
        <f t="shared" ca="1" si="0"/>
        <v>3.6</v>
      </c>
      <c r="AJ10">
        <f t="shared" ca="1" si="0"/>
        <v>1.83</v>
      </c>
      <c r="AK10">
        <f t="shared" ca="1" si="0"/>
        <v>0.87</v>
      </c>
      <c r="AL10">
        <f t="shared" ca="1" si="0"/>
        <v>1.05</v>
      </c>
      <c r="AM10">
        <f t="shared" ca="1" si="0"/>
        <v>2.4300000000000002</v>
      </c>
      <c r="AN10">
        <v>30</v>
      </c>
      <c r="AO10">
        <v>50</v>
      </c>
      <c r="AP10">
        <f t="shared" ca="1" si="3"/>
        <v>30.3</v>
      </c>
      <c r="AQ10">
        <f t="shared" ca="1" si="1"/>
        <v>31.5</v>
      </c>
      <c r="AR10">
        <f t="shared" ca="1" si="1"/>
        <v>29.7</v>
      </c>
      <c r="AS10">
        <f t="shared" ca="1" si="1"/>
        <v>30.6</v>
      </c>
      <c r="AT10">
        <f t="shared" ca="1" si="4"/>
        <v>16.2</v>
      </c>
      <c r="AU10">
        <f t="shared" ca="1" si="5"/>
        <v>2.4</v>
      </c>
      <c r="AV10">
        <f t="shared" ca="1" si="6"/>
        <v>4.2</v>
      </c>
    </row>
    <row r="11" spans="1:48">
      <c r="A11">
        <v>10010</v>
      </c>
      <c r="B11" t="s">
        <v>5</v>
      </c>
      <c r="C11" t="s">
        <v>22</v>
      </c>
      <c r="D11" t="s">
        <v>23</v>
      </c>
      <c r="E11" t="s">
        <v>20</v>
      </c>
      <c r="F11" t="s">
        <v>72</v>
      </c>
      <c r="G11" t="s">
        <v>93</v>
      </c>
      <c r="I11" t="b">
        <v>1</v>
      </c>
      <c r="M11">
        <v>50</v>
      </c>
      <c r="N11" t="b">
        <v>0</v>
      </c>
      <c r="O11" s="2">
        <v>0.35416666666666669</v>
      </c>
      <c r="P11" s="2">
        <v>0.9375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  <c r="W11" t="b">
        <v>0</v>
      </c>
      <c r="X11">
        <v>50</v>
      </c>
      <c r="Y11">
        <f t="shared" ca="1" si="2"/>
        <v>5.4</v>
      </c>
      <c r="Z11">
        <f t="shared" ca="1" si="0"/>
        <v>23.875</v>
      </c>
      <c r="AA11">
        <f t="shared" ca="1" si="0"/>
        <v>15.525</v>
      </c>
      <c r="AB11">
        <f t="shared" ca="1" si="0"/>
        <v>9.6</v>
      </c>
      <c r="AC11">
        <f t="shared" ca="1" si="0"/>
        <v>63.2</v>
      </c>
      <c r="AD11">
        <f t="shared" ca="1" si="0"/>
        <v>45.174999999999997</v>
      </c>
      <c r="AE11">
        <f t="shared" ca="1" si="0"/>
        <v>66.849999999999994</v>
      </c>
      <c r="AF11">
        <f t="shared" ca="1" si="0"/>
        <v>15.4</v>
      </c>
      <c r="AG11">
        <f t="shared" ca="1" si="0"/>
        <v>32.9</v>
      </c>
      <c r="AH11">
        <f t="shared" ca="1" si="0"/>
        <v>24.75</v>
      </c>
      <c r="AI11">
        <f t="shared" ca="1" si="0"/>
        <v>13.05</v>
      </c>
      <c r="AJ11">
        <f t="shared" ca="1" si="0"/>
        <v>4.625</v>
      </c>
      <c r="AK11">
        <f t="shared" ca="1" si="0"/>
        <v>3.7</v>
      </c>
      <c r="AL11">
        <f t="shared" ca="1" si="0"/>
        <v>1.75</v>
      </c>
      <c r="AM11">
        <f t="shared" ca="1" si="0"/>
        <v>4.2750000000000004</v>
      </c>
      <c r="AN11">
        <v>50</v>
      </c>
      <c r="AO11">
        <v>30</v>
      </c>
      <c r="AP11">
        <f t="shared" ca="1" si="3"/>
        <v>47.5</v>
      </c>
      <c r="AQ11">
        <f t="shared" ca="1" si="1"/>
        <v>50</v>
      </c>
      <c r="AR11">
        <f t="shared" ca="1" si="1"/>
        <v>49.5</v>
      </c>
      <c r="AS11">
        <f t="shared" ca="1" si="1"/>
        <v>46</v>
      </c>
      <c r="AT11">
        <f t="shared" ca="1" si="4"/>
        <v>21</v>
      </c>
      <c r="AU11">
        <f t="shared" ca="1" si="5"/>
        <v>0</v>
      </c>
      <c r="AV11">
        <f t="shared" ca="1" si="6"/>
        <v>0</v>
      </c>
    </row>
    <row r="12" spans="1:48">
      <c r="A12">
        <v>10011</v>
      </c>
      <c r="B12" t="s">
        <v>5</v>
      </c>
      <c r="C12" t="s">
        <v>22</v>
      </c>
      <c r="D12" t="s">
        <v>24</v>
      </c>
      <c r="E12" t="s">
        <v>14</v>
      </c>
      <c r="G12" t="s">
        <v>93</v>
      </c>
      <c r="I12" t="b">
        <v>1</v>
      </c>
      <c r="M12">
        <v>50</v>
      </c>
      <c r="N12" t="b">
        <v>0</v>
      </c>
      <c r="O12" s="2">
        <v>0.35416666666666669</v>
      </c>
      <c r="P12" s="2">
        <v>0.9375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b">
        <v>0</v>
      </c>
      <c r="X12">
        <v>50</v>
      </c>
      <c r="Y12">
        <f t="shared" ca="1" si="2"/>
        <v>4.5999999999999996</v>
      </c>
      <c r="Z12">
        <f t="shared" ca="1" si="0"/>
        <v>12.875</v>
      </c>
      <c r="AA12">
        <f t="shared" ca="1" si="0"/>
        <v>24.975000000000001</v>
      </c>
      <c r="AB12">
        <f t="shared" ca="1" si="0"/>
        <v>27.45</v>
      </c>
      <c r="AC12">
        <f t="shared" ca="1" si="0"/>
        <v>55.2</v>
      </c>
      <c r="AD12">
        <f t="shared" ca="1" si="0"/>
        <v>26.324999999999999</v>
      </c>
      <c r="AE12">
        <f t="shared" ca="1" si="0"/>
        <v>48.65</v>
      </c>
      <c r="AF12">
        <f t="shared" ca="1" si="0"/>
        <v>26.675000000000001</v>
      </c>
      <c r="AG12">
        <f t="shared" ca="1" si="0"/>
        <v>32.200000000000003</v>
      </c>
      <c r="AH12">
        <f t="shared" ca="1" si="0"/>
        <v>23.25</v>
      </c>
      <c r="AI12">
        <f t="shared" ca="1" si="0"/>
        <v>9.3000000000000007</v>
      </c>
      <c r="AJ12">
        <f t="shared" ca="1" si="0"/>
        <v>4.5750000000000002</v>
      </c>
      <c r="AK12">
        <f t="shared" ca="1" si="0"/>
        <v>4.05</v>
      </c>
      <c r="AL12">
        <f t="shared" ca="1" si="0"/>
        <v>3.25</v>
      </c>
      <c r="AM12">
        <f t="shared" ca="1" si="0"/>
        <v>1.6</v>
      </c>
      <c r="AN12">
        <v>50</v>
      </c>
      <c r="AO12">
        <v>30</v>
      </c>
      <c r="AP12">
        <f t="shared" ca="1" si="3"/>
        <v>48.5</v>
      </c>
      <c r="AQ12">
        <f t="shared" ca="1" si="1"/>
        <v>52</v>
      </c>
      <c r="AR12">
        <f t="shared" ca="1" si="1"/>
        <v>53</v>
      </c>
      <c r="AS12">
        <f t="shared" ca="1" si="1"/>
        <v>50.5</v>
      </c>
      <c r="AT12">
        <f t="shared" ca="1" si="4"/>
        <v>22.5</v>
      </c>
      <c r="AU12">
        <f t="shared" ca="1" si="5"/>
        <v>0</v>
      </c>
      <c r="AV12">
        <f t="shared" ca="1" si="6"/>
        <v>0</v>
      </c>
    </row>
    <row r="13" spans="1:48">
      <c r="A13">
        <v>10012</v>
      </c>
      <c r="B13" t="s">
        <v>5</v>
      </c>
      <c r="C13" t="s">
        <v>26</v>
      </c>
      <c r="D13" t="s">
        <v>15</v>
      </c>
      <c r="E13" t="s">
        <v>16</v>
      </c>
      <c r="F13" t="s">
        <v>73</v>
      </c>
      <c r="G13" t="s">
        <v>94</v>
      </c>
      <c r="I13" t="b">
        <v>1</v>
      </c>
      <c r="M13">
        <v>40</v>
      </c>
      <c r="N13" t="b">
        <v>0</v>
      </c>
      <c r="O13" s="2">
        <v>0.35416666666666669</v>
      </c>
      <c r="P13" s="2">
        <v>0.9375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0</v>
      </c>
      <c r="X13">
        <v>20</v>
      </c>
      <c r="Y13">
        <f t="shared" ca="1" si="2"/>
        <v>5.46</v>
      </c>
      <c r="Z13">
        <f t="shared" ca="1" si="0"/>
        <v>8.85</v>
      </c>
      <c r="AA13">
        <f t="shared" ca="1" si="0"/>
        <v>31.05</v>
      </c>
      <c r="AB13">
        <f t="shared" ca="1" si="0"/>
        <v>16.920000000000002</v>
      </c>
      <c r="AC13">
        <f t="shared" ca="1" si="0"/>
        <v>74.400000000000006</v>
      </c>
      <c r="AD13">
        <f t="shared" ca="1" si="0"/>
        <v>63.96</v>
      </c>
      <c r="AE13">
        <f t="shared" ca="1" si="0"/>
        <v>58.38</v>
      </c>
      <c r="AF13">
        <f t="shared" ca="1" si="0"/>
        <v>33.99</v>
      </c>
      <c r="AG13">
        <f t="shared" ca="1" si="0"/>
        <v>64.260000000000005</v>
      </c>
      <c r="AH13">
        <f t="shared" ca="1" si="0"/>
        <v>36</v>
      </c>
      <c r="AI13">
        <f t="shared" ca="1" si="0"/>
        <v>16.47</v>
      </c>
      <c r="AJ13">
        <f t="shared" ca="1" si="0"/>
        <v>5.19</v>
      </c>
      <c r="AK13">
        <f t="shared" ca="1" si="0"/>
        <v>4.29</v>
      </c>
      <c r="AL13">
        <f t="shared" ca="1" si="0"/>
        <v>5.49</v>
      </c>
      <c r="AM13">
        <f t="shared" ca="1" si="0"/>
        <v>2.37</v>
      </c>
      <c r="AN13">
        <v>60</v>
      </c>
      <c r="AO13">
        <v>60</v>
      </c>
      <c r="AP13">
        <f t="shared" ca="1" si="3"/>
        <v>58.8</v>
      </c>
      <c r="AQ13">
        <f t="shared" ca="1" si="1"/>
        <v>55.2</v>
      </c>
      <c r="AR13">
        <f t="shared" ca="1" si="1"/>
        <v>60</v>
      </c>
      <c r="AS13">
        <f t="shared" ca="1" si="1"/>
        <v>62.4</v>
      </c>
      <c r="AT13">
        <f t="shared" ca="1" si="4"/>
        <v>33</v>
      </c>
      <c r="AU13">
        <f t="shared" ca="1" si="5"/>
        <v>0</v>
      </c>
      <c r="AV13">
        <f t="shared" ca="1" si="6"/>
        <v>0</v>
      </c>
    </row>
    <row r="14" spans="1:48">
      <c r="A14">
        <v>10013</v>
      </c>
      <c r="B14" t="s">
        <v>5</v>
      </c>
      <c r="C14" t="s">
        <v>26</v>
      </c>
      <c r="D14" t="s">
        <v>27</v>
      </c>
      <c r="E14" t="s">
        <v>16</v>
      </c>
      <c r="F14" t="s">
        <v>73</v>
      </c>
      <c r="G14" t="s">
        <v>94</v>
      </c>
      <c r="I14" t="b">
        <v>1</v>
      </c>
      <c r="M14">
        <v>40</v>
      </c>
      <c r="N14" t="b">
        <v>0</v>
      </c>
      <c r="O14" s="2">
        <v>0.35416666666666669</v>
      </c>
      <c r="P14" s="2">
        <v>0.9375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  <c r="W14" t="b">
        <v>0</v>
      </c>
      <c r="X14">
        <v>20</v>
      </c>
      <c r="Y14">
        <f t="shared" ca="1" si="2"/>
        <v>8.8800000000000008</v>
      </c>
      <c r="Z14">
        <f t="shared" ca="1" si="0"/>
        <v>18.75</v>
      </c>
      <c r="AA14">
        <f t="shared" ca="1" si="0"/>
        <v>42.93</v>
      </c>
      <c r="AB14">
        <f t="shared" ca="1" si="0"/>
        <v>28.62</v>
      </c>
      <c r="AC14">
        <f t="shared" ca="1" si="0"/>
        <v>48.48</v>
      </c>
      <c r="AD14">
        <f t="shared" ca="1" si="0"/>
        <v>31.59</v>
      </c>
      <c r="AE14">
        <f t="shared" ca="1" si="0"/>
        <v>53.76</v>
      </c>
      <c r="AF14">
        <f t="shared" ca="1" si="0"/>
        <v>23.76</v>
      </c>
      <c r="AG14">
        <f t="shared" ca="1" si="0"/>
        <v>70.98</v>
      </c>
      <c r="AH14">
        <f t="shared" ca="1" si="0"/>
        <v>10.8</v>
      </c>
      <c r="AI14">
        <f t="shared" ca="1" si="0"/>
        <v>4.95</v>
      </c>
      <c r="AJ14">
        <f t="shared" ca="1" si="0"/>
        <v>2.0699999999999998</v>
      </c>
      <c r="AK14">
        <f t="shared" ca="1" si="0"/>
        <v>3.93</v>
      </c>
      <c r="AL14">
        <f t="shared" ca="1" si="0"/>
        <v>1.86</v>
      </c>
      <c r="AM14">
        <f t="shared" ca="1" si="0"/>
        <v>2.7</v>
      </c>
      <c r="AN14">
        <v>60</v>
      </c>
      <c r="AO14">
        <v>60</v>
      </c>
      <c r="AP14">
        <f t="shared" ca="1" si="3"/>
        <v>61.2</v>
      </c>
      <c r="AQ14">
        <f t="shared" ca="1" si="1"/>
        <v>55.2</v>
      </c>
      <c r="AR14">
        <f t="shared" ca="1" si="1"/>
        <v>55.2</v>
      </c>
      <c r="AS14">
        <f t="shared" ca="1" si="1"/>
        <v>62.4</v>
      </c>
      <c r="AT14">
        <f t="shared" ca="1" si="4"/>
        <v>30.6</v>
      </c>
      <c r="AU14">
        <f t="shared" ca="1" si="5"/>
        <v>0</v>
      </c>
      <c r="AV14">
        <f t="shared" ca="1" si="6"/>
        <v>0</v>
      </c>
    </row>
    <row r="15" spans="1:48">
      <c r="A15">
        <v>10014</v>
      </c>
      <c r="B15" t="s">
        <v>5</v>
      </c>
      <c r="C15" t="s">
        <v>26</v>
      </c>
      <c r="D15" t="s">
        <v>28</v>
      </c>
      <c r="E15" t="s">
        <v>16</v>
      </c>
      <c r="F15" t="s">
        <v>73</v>
      </c>
      <c r="G15" t="s">
        <v>94</v>
      </c>
      <c r="I15" t="b">
        <v>1</v>
      </c>
      <c r="M15">
        <v>50</v>
      </c>
      <c r="N15" t="b">
        <v>0</v>
      </c>
      <c r="O15" s="2">
        <v>0.35416666666666669</v>
      </c>
      <c r="P15" s="2">
        <v>0.9375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b">
        <v>0</v>
      </c>
      <c r="X15">
        <v>30</v>
      </c>
      <c r="Y15">
        <f t="shared" ca="1" si="2"/>
        <v>6.79</v>
      </c>
      <c r="Z15">
        <f t="shared" ca="1" si="0"/>
        <v>25.024999999999999</v>
      </c>
      <c r="AA15">
        <f t="shared" ca="1" si="0"/>
        <v>33.39</v>
      </c>
      <c r="AB15">
        <f t="shared" ca="1" si="0"/>
        <v>13.65</v>
      </c>
      <c r="AC15">
        <f t="shared" ca="1" si="0"/>
        <v>95.76</v>
      </c>
      <c r="AD15">
        <f t="shared" ca="1" si="0"/>
        <v>84.63</v>
      </c>
      <c r="AE15">
        <f t="shared" ca="1" si="0"/>
        <v>51.45</v>
      </c>
      <c r="AF15">
        <f t="shared" ca="1" si="0"/>
        <v>41.965000000000003</v>
      </c>
      <c r="AG15">
        <f t="shared" ca="1" si="0"/>
        <v>96.04</v>
      </c>
      <c r="AH15">
        <f t="shared" ca="1" si="0"/>
        <v>40.32</v>
      </c>
      <c r="AI15">
        <f t="shared" ca="1" si="0"/>
        <v>18.27</v>
      </c>
      <c r="AJ15">
        <f t="shared" ca="1" si="0"/>
        <v>5.46</v>
      </c>
      <c r="AK15">
        <f t="shared" ca="1" si="0"/>
        <v>6.51</v>
      </c>
      <c r="AL15">
        <f t="shared" ca="1" si="0"/>
        <v>7</v>
      </c>
      <c r="AM15">
        <f t="shared" ca="1" si="0"/>
        <v>1.925</v>
      </c>
      <c r="AN15">
        <v>70</v>
      </c>
      <c r="AO15">
        <v>40</v>
      </c>
      <c r="AP15">
        <f t="shared" ca="1" si="3"/>
        <v>70.7</v>
      </c>
      <c r="AQ15">
        <f t="shared" ca="1" si="1"/>
        <v>63</v>
      </c>
      <c r="AR15">
        <f t="shared" ca="1" si="1"/>
        <v>77</v>
      </c>
      <c r="AS15">
        <f t="shared" ca="1" si="1"/>
        <v>67.2</v>
      </c>
      <c r="AT15">
        <f t="shared" ca="1" si="4"/>
        <v>32.9</v>
      </c>
      <c r="AU15">
        <f t="shared" ca="1" si="5"/>
        <v>0</v>
      </c>
      <c r="AV15">
        <f t="shared" ca="1" si="6"/>
        <v>0</v>
      </c>
    </row>
    <row r="16" spans="1:48">
      <c r="A16">
        <v>10015</v>
      </c>
      <c r="B16" t="s">
        <v>5</v>
      </c>
      <c r="C16" t="s">
        <v>29</v>
      </c>
      <c r="D16" t="s">
        <v>23</v>
      </c>
      <c r="E16" t="s">
        <v>20</v>
      </c>
      <c r="F16" t="s">
        <v>81</v>
      </c>
      <c r="G16" t="s">
        <v>93</v>
      </c>
      <c r="I16" t="b">
        <v>1</v>
      </c>
      <c r="M16">
        <v>50</v>
      </c>
      <c r="N16" t="b">
        <v>0</v>
      </c>
      <c r="O16" s="2">
        <v>0.35416666666666669</v>
      </c>
      <c r="P16" s="2">
        <v>0.9375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>
        <v>55</v>
      </c>
      <c r="Y16">
        <f t="shared" ca="1" si="2"/>
        <v>6.12</v>
      </c>
      <c r="Z16">
        <f t="shared" ca="1" si="0"/>
        <v>14.85</v>
      </c>
      <c r="AA16">
        <f t="shared" ca="1" si="0"/>
        <v>23.49</v>
      </c>
      <c r="AB16">
        <f t="shared" ca="1" si="0"/>
        <v>17.55</v>
      </c>
      <c r="AC16">
        <f t="shared" ca="1" si="0"/>
        <v>37.44</v>
      </c>
      <c r="AD16">
        <f t="shared" ca="1" si="0"/>
        <v>83.655000000000001</v>
      </c>
      <c r="AE16">
        <f t="shared" ca="1" si="0"/>
        <v>120.33</v>
      </c>
      <c r="AF16">
        <f t="shared" ca="1" si="0"/>
        <v>62.37</v>
      </c>
      <c r="AG16">
        <f t="shared" ca="1" si="0"/>
        <v>59.22</v>
      </c>
      <c r="AH16">
        <f t="shared" ca="1" si="0"/>
        <v>22.95</v>
      </c>
      <c r="AI16">
        <f t="shared" ca="1" si="0"/>
        <v>24.975000000000001</v>
      </c>
      <c r="AJ16">
        <f t="shared" ca="1" si="0"/>
        <v>3.78</v>
      </c>
      <c r="AK16">
        <f t="shared" ca="1" si="0"/>
        <v>5.4</v>
      </c>
      <c r="AL16">
        <f t="shared" ca="1" si="0"/>
        <v>8.8650000000000002</v>
      </c>
      <c r="AM16">
        <f t="shared" ca="1" si="0"/>
        <v>4.41</v>
      </c>
      <c r="AN16">
        <v>90</v>
      </c>
      <c r="AO16">
        <v>80</v>
      </c>
      <c r="AP16">
        <f t="shared" ca="1" si="3"/>
        <v>81</v>
      </c>
      <c r="AQ16">
        <f t="shared" ca="1" si="1"/>
        <v>82.8</v>
      </c>
      <c r="AR16">
        <f t="shared" ca="1" si="1"/>
        <v>93.6</v>
      </c>
      <c r="AS16">
        <f t="shared" ca="1" si="1"/>
        <v>83.7</v>
      </c>
      <c r="AT16">
        <f t="shared" ca="1" si="4"/>
        <v>40.5</v>
      </c>
      <c r="AU16">
        <f t="shared" ca="1" si="5"/>
        <v>9</v>
      </c>
      <c r="AV16">
        <f t="shared" ca="1" si="6"/>
        <v>9</v>
      </c>
    </row>
    <row r="17" spans="1:48">
      <c r="A17">
        <v>10016</v>
      </c>
      <c r="B17" t="s">
        <v>5</v>
      </c>
      <c r="C17" t="s">
        <v>29</v>
      </c>
      <c r="D17" t="s">
        <v>30</v>
      </c>
      <c r="E17" t="s">
        <v>20</v>
      </c>
      <c r="F17" t="s">
        <v>81</v>
      </c>
      <c r="G17" t="s">
        <v>93</v>
      </c>
      <c r="I17" t="b">
        <v>1</v>
      </c>
      <c r="M17">
        <v>50</v>
      </c>
      <c r="N17" t="b">
        <v>0</v>
      </c>
      <c r="O17" s="2">
        <v>0.35416666666666669</v>
      </c>
      <c r="P17" s="2">
        <v>0.9375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>
        <v>55</v>
      </c>
      <c r="Y17">
        <f t="shared" ca="1" si="2"/>
        <v>12.87</v>
      </c>
      <c r="Z17">
        <f t="shared" ca="1" si="0"/>
        <v>26.774999999999999</v>
      </c>
      <c r="AA17">
        <f t="shared" ca="1" si="0"/>
        <v>27.54</v>
      </c>
      <c r="AB17">
        <f t="shared" ca="1" si="0"/>
        <v>13.77</v>
      </c>
      <c r="AC17">
        <f t="shared" ca="1" si="0"/>
        <v>102.96</v>
      </c>
      <c r="AD17">
        <f t="shared" ca="1" si="0"/>
        <v>77.22</v>
      </c>
      <c r="AE17">
        <f t="shared" ca="1" si="0"/>
        <v>54.81</v>
      </c>
      <c r="AF17">
        <f t="shared" ca="1" si="0"/>
        <v>28.71</v>
      </c>
      <c r="AG17">
        <f t="shared" ca="1" si="0"/>
        <v>119.07</v>
      </c>
      <c r="AH17">
        <f t="shared" ca="1" si="0"/>
        <v>49.14</v>
      </c>
      <c r="AI17">
        <f t="shared" ca="1" si="0"/>
        <v>6.8849999999999998</v>
      </c>
      <c r="AJ17">
        <f t="shared" ca="1" si="0"/>
        <v>6.84</v>
      </c>
      <c r="AK17">
        <f t="shared" ca="1" si="0"/>
        <v>5.625</v>
      </c>
      <c r="AL17">
        <f t="shared" ca="1" si="0"/>
        <v>4.95</v>
      </c>
      <c r="AM17">
        <f t="shared" ca="1" si="0"/>
        <v>2.835</v>
      </c>
      <c r="AN17">
        <v>90</v>
      </c>
      <c r="AO17">
        <v>70</v>
      </c>
      <c r="AP17">
        <f t="shared" ca="1" si="3"/>
        <v>86.4</v>
      </c>
      <c r="AQ17">
        <f t="shared" ca="1" si="1"/>
        <v>93.6</v>
      </c>
      <c r="AR17">
        <f t="shared" ca="1" si="1"/>
        <v>83.7</v>
      </c>
      <c r="AS17">
        <f t="shared" ca="1" si="1"/>
        <v>95.4</v>
      </c>
      <c r="AT17">
        <f t="shared" ca="1" si="4"/>
        <v>44.1</v>
      </c>
      <c r="AU17">
        <f t="shared" ca="1" si="5"/>
        <v>5.4</v>
      </c>
      <c r="AV17">
        <f t="shared" ca="1" si="6"/>
        <v>9</v>
      </c>
    </row>
    <row r="18" spans="1:48">
      <c r="A18">
        <v>10017</v>
      </c>
      <c r="B18" t="s">
        <v>5</v>
      </c>
      <c r="C18" t="s">
        <v>29</v>
      </c>
      <c r="D18" t="s">
        <v>31</v>
      </c>
      <c r="E18" t="s">
        <v>20</v>
      </c>
      <c r="F18" t="s">
        <v>81</v>
      </c>
      <c r="G18" t="s">
        <v>93</v>
      </c>
      <c r="I18" t="b">
        <v>1</v>
      </c>
      <c r="M18">
        <v>50</v>
      </c>
      <c r="N18" t="b">
        <v>0</v>
      </c>
      <c r="O18" s="2">
        <v>0.35416666666666669</v>
      </c>
      <c r="P18" s="2">
        <v>0.9375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>
        <v>55</v>
      </c>
      <c r="Y18">
        <f t="shared" ca="1" si="2"/>
        <v>15.3</v>
      </c>
      <c r="Z18">
        <f t="shared" ca="1" si="2"/>
        <v>40.049999999999997</v>
      </c>
      <c r="AA18">
        <f t="shared" ca="1" si="2"/>
        <v>78.165000000000006</v>
      </c>
      <c r="AB18">
        <f t="shared" ca="1" si="2"/>
        <v>28.89</v>
      </c>
      <c r="AC18">
        <f t="shared" ca="1" si="2"/>
        <v>61.2</v>
      </c>
      <c r="AD18">
        <f t="shared" ca="1" si="2"/>
        <v>48.555</v>
      </c>
      <c r="AE18">
        <f t="shared" ca="1" si="2"/>
        <v>81.900000000000006</v>
      </c>
      <c r="AF18">
        <f t="shared" ca="1" si="2"/>
        <v>96.03</v>
      </c>
      <c r="AG18">
        <f t="shared" ca="1" si="2"/>
        <v>40.950000000000003</v>
      </c>
      <c r="AH18">
        <f t="shared" ca="1" si="2"/>
        <v>51.84</v>
      </c>
      <c r="AI18">
        <f t="shared" ca="1" si="2"/>
        <v>24.03</v>
      </c>
      <c r="AJ18">
        <f t="shared" ca="1" si="2"/>
        <v>8.73</v>
      </c>
      <c r="AK18">
        <f t="shared" ca="1" si="2"/>
        <v>3.7349999999999999</v>
      </c>
      <c r="AL18">
        <f t="shared" ca="1" si="2"/>
        <v>4.0949999999999998</v>
      </c>
      <c r="AM18">
        <f t="shared" ca="1" si="2"/>
        <v>4.4550000000000001</v>
      </c>
      <c r="AN18">
        <v>90</v>
      </c>
      <c r="AO18">
        <v>60</v>
      </c>
      <c r="AP18">
        <f t="shared" ca="1" si="3"/>
        <v>86.4</v>
      </c>
      <c r="AQ18">
        <f t="shared" ca="1" si="3"/>
        <v>92.7</v>
      </c>
      <c r="AR18">
        <f t="shared" ca="1" si="3"/>
        <v>94.5</v>
      </c>
      <c r="AS18">
        <f t="shared" ca="1" si="3"/>
        <v>84.6</v>
      </c>
      <c r="AT18">
        <f t="shared" ca="1" si="4"/>
        <v>48.6</v>
      </c>
      <c r="AU18">
        <f t="shared" ca="1" si="5"/>
        <v>18</v>
      </c>
      <c r="AV18">
        <f t="shared" ca="1" si="6"/>
        <v>7.2</v>
      </c>
    </row>
    <row r="19" spans="1:48">
      <c r="A19">
        <v>10018</v>
      </c>
      <c r="B19" t="s">
        <v>5</v>
      </c>
      <c r="C19" t="s">
        <v>29</v>
      </c>
      <c r="D19" t="s">
        <v>32</v>
      </c>
      <c r="E19" t="s">
        <v>13</v>
      </c>
      <c r="F19" t="s">
        <v>70</v>
      </c>
      <c r="G19" t="s">
        <v>93</v>
      </c>
      <c r="I19" t="b">
        <v>1</v>
      </c>
      <c r="M19">
        <v>70</v>
      </c>
      <c r="N19" t="b">
        <v>0</v>
      </c>
      <c r="O19" s="2">
        <v>0.35416666666666669</v>
      </c>
      <c r="P19" s="2">
        <v>0.9375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>
        <v>55</v>
      </c>
      <c r="Y19">
        <f t="shared" ca="1" si="2"/>
        <v>13.3</v>
      </c>
      <c r="Z19">
        <f t="shared" ca="1" si="2"/>
        <v>20.75</v>
      </c>
      <c r="AA19">
        <f t="shared" ca="1" si="2"/>
        <v>38.700000000000003</v>
      </c>
      <c r="AB19">
        <f t="shared" ca="1" si="2"/>
        <v>33.9</v>
      </c>
      <c r="AC19">
        <f t="shared" ca="1" si="2"/>
        <v>46.4</v>
      </c>
      <c r="AD19">
        <f t="shared" ca="1" si="2"/>
        <v>48.1</v>
      </c>
      <c r="AE19">
        <f t="shared" ca="1" si="2"/>
        <v>93.1</v>
      </c>
      <c r="AF19">
        <f t="shared" ca="1" si="2"/>
        <v>29.7</v>
      </c>
      <c r="AG19">
        <f t="shared" ca="1" si="2"/>
        <v>41.3</v>
      </c>
      <c r="AH19">
        <f t="shared" ca="1" si="2"/>
        <v>33.6</v>
      </c>
      <c r="AI19">
        <f t="shared" ca="1" si="2"/>
        <v>27.75</v>
      </c>
      <c r="AJ19">
        <f t="shared" ca="1" si="2"/>
        <v>9.85</v>
      </c>
      <c r="AK19">
        <f t="shared" ca="1" si="2"/>
        <v>8.6999999999999993</v>
      </c>
      <c r="AL19">
        <f t="shared" ca="1" si="2"/>
        <v>3.75</v>
      </c>
      <c r="AM19">
        <f t="shared" ca="1" si="2"/>
        <v>2.95</v>
      </c>
      <c r="AN19">
        <v>100</v>
      </c>
      <c r="AO19">
        <v>40</v>
      </c>
      <c r="AP19">
        <f t="shared" ca="1" si="3"/>
        <v>101</v>
      </c>
      <c r="AQ19">
        <f t="shared" ca="1" si="3"/>
        <v>110</v>
      </c>
      <c r="AR19">
        <f t="shared" ca="1" si="3"/>
        <v>93</v>
      </c>
      <c r="AS19">
        <f t="shared" ca="1" si="3"/>
        <v>109</v>
      </c>
      <c r="AT19">
        <f t="shared" ca="1" si="4"/>
        <v>40</v>
      </c>
      <c r="AU19">
        <f t="shared" ca="1" si="5"/>
        <v>13</v>
      </c>
      <c r="AV19">
        <f t="shared" ca="1" si="6"/>
        <v>10</v>
      </c>
    </row>
    <row r="20" spans="1:48">
      <c r="A20">
        <v>10019</v>
      </c>
      <c r="B20" t="s">
        <v>5</v>
      </c>
      <c r="C20" t="s">
        <v>29</v>
      </c>
      <c r="D20" t="s">
        <v>33</v>
      </c>
      <c r="E20" t="s">
        <v>36</v>
      </c>
      <c r="F20" t="s">
        <v>74</v>
      </c>
      <c r="G20" t="s">
        <v>93</v>
      </c>
      <c r="I20" t="b">
        <v>1</v>
      </c>
      <c r="M20">
        <v>50</v>
      </c>
      <c r="N20" t="b">
        <v>0</v>
      </c>
      <c r="O20" s="2">
        <v>0.35416666666666669</v>
      </c>
      <c r="P20" s="2">
        <v>0.9375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>
        <v>45</v>
      </c>
      <c r="Y20">
        <f t="shared" ca="1" si="2"/>
        <v>7.63</v>
      </c>
      <c r="Z20">
        <f t="shared" ca="1" si="2"/>
        <v>29.4</v>
      </c>
      <c r="AA20">
        <f t="shared" ca="1" si="2"/>
        <v>27.72</v>
      </c>
      <c r="AB20">
        <f t="shared" ca="1" si="2"/>
        <v>36.54</v>
      </c>
      <c r="AC20">
        <f t="shared" ca="1" si="2"/>
        <v>103.6</v>
      </c>
      <c r="AD20">
        <f t="shared" ca="1" si="2"/>
        <v>68.25</v>
      </c>
      <c r="AE20">
        <f t="shared" ca="1" si="2"/>
        <v>87.22</v>
      </c>
      <c r="AF20">
        <f t="shared" ca="1" si="2"/>
        <v>74.69</v>
      </c>
      <c r="AG20">
        <f t="shared" ca="1" si="2"/>
        <v>56.84</v>
      </c>
      <c r="AH20">
        <f t="shared" ca="1" si="2"/>
        <v>28.77</v>
      </c>
      <c r="AI20">
        <f t="shared" ca="1" si="2"/>
        <v>11.97</v>
      </c>
      <c r="AJ20">
        <f t="shared" ca="1" si="2"/>
        <v>2.1</v>
      </c>
      <c r="AK20">
        <f t="shared" ca="1" si="2"/>
        <v>4.41</v>
      </c>
      <c r="AL20">
        <f t="shared" ca="1" si="2"/>
        <v>2.66</v>
      </c>
      <c r="AM20">
        <f t="shared" ca="1" si="2"/>
        <v>5.7050000000000001</v>
      </c>
      <c r="AN20">
        <v>70</v>
      </c>
      <c r="AO20">
        <v>100</v>
      </c>
      <c r="AP20">
        <f t="shared" ca="1" si="3"/>
        <v>70.7</v>
      </c>
      <c r="AQ20">
        <f t="shared" ca="1" si="3"/>
        <v>70.7</v>
      </c>
      <c r="AR20">
        <f t="shared" ca="1" si="3"/>
        <v>72.8</v>
      </c>
      <c r="AS20">
        <f t="shared" ca="1" si="3"/>
        <v>73.5</v>
      </c>
      <c r="AT20">
        <f t="shared" ca="1" si="4"/>
        <v>35</v>
      </c>
      <c r="AU20">
        <f t="shared" ca="1" si="5"/>
        <v>7</v>
      </c>
      <c r="AV20">
        <f t="shared" ca="1" si="6"/>
        <v>5.6</v>
      </c>
    </row>
    <row r="21" spans="1:48">
      <c r="A21">
        <v>10020</v>
      </c>
      <c r="B21" t="s">
        <v>5</v>
      </c>
      <c r="C21" t="s">
        <v>29</v>
      </c>
      <c r="D21" t="s">
        <v>34</v>
      </c>
      <c r="E21" t="s">
        <v>36</v>
      </c>
      <c r="F21" t="s">
        <v>74</v>
      </c>
      <c r="G21" t="s">
        <v>93</v>
      </c>
      <c r="I21" t="b">
        <v>1</v>
      </c>
      <c r="M21">
        <v>50</v>
      </c>
      <c r="N21" t="b">
        <v>0</v>
      </c>
      <c r="O21" s="2">
        <v>0.35416666666666669</v>
      </c>
      <c r="P21" s="2">
        <v>0.9375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>
        <v>45</v>
      </c>
      <c r="Y21">
        <f t="shared" ca="1" si="2"/>
        <v>7.56</v>
      </c>
      <c r="Z21">
        <f t="shared" ca="1" si="2"/>
        <v>14.525</v>
      </c>
      <c r="AA21">
        <f t="shared" ca="1" si="2"/>
        <v>27.72</v>
      </c>
      <c r="AB21">
        <f t="shared" ca="1" si="2"/>
        <v>25.83</v>
      </c>
      <c r="AC21">
        <f t="shared" ca="1" si="2"/>
        <v>50.96</v>
      </c>
      <c r="AD21">
        <f t="shared" ca="1" si="2"/>
        <v>49.14</v>
      </c>
      <c r="AE21">
        <f t="shared" ca="1" si="2"/>
        <v>67.13</v>
      </c>
      <c r="AF21">
        <f t="shared" ca="1" si="2"/>
        <v>28.49</v>
      </c>
      <c r="AG21">
        <f t="shared" ca="1" si="2"/>
        <v>53.9</v>
      </c>
      <c r="AH21">
        <f t="shared" ca="1" si="2"/>
        <v>15.54</v>
      </c>
      <c r="AI21">
        <f t="shared" ca="1" si="2"/>
        <v>9.1349999999999998</v>
      </c>
      <c r="AJ21">
        <f t="shared" ca="1" si="2"/>
        <v>6.7549999999999999</v>
      </c>
      <c r="AK21">
        <f t="shared" ca="1" si="2"/>
        <v>5.2850000000000001</v>
      </c>
      <c r="AL21">
        <f t="shared" ca="1" si="2"/>
        <v>4.0599999999999996</v>
      </c>
      <c r="AM21">
        <f t="shared" ca="1" si="2"/>
        <v>6.9649999999999999</v>
      </c>
      <c r="AN21">
        <v>70</v>
      </c>
      <c r="AO21">
        <v>90</v>
      </c>
      <c r="AP21">
        <f t="shared" ca="1" si="3"/>
        <v>63</v>
      </c>
      <c r="AQ21">
        <f t="shared" ca="1" si="3"/>
        <v>72.8</v>
      </c>
      <c r="AR21">
        <f t="shared" ca="1" si="3"/>
        <v>68.599999999999994</v>
      </c>
      <c r="AS21">
        <f t="shared" ca="1" si="3"/>
        <v>72.099999999999994</v>
      </c>
      <c r="AT21">
        <f t="shared" ca="1" si="4"/>
        <v>28</v>
      </c>
      <c r="AU21">
        <f t="shared" ca="1" si="5"/>
        <v>14</v>
      </c>
      <c r="AV21">
        <f t="shared" ca="1" si="6"/>
        <v>9.1</v>
      </c>
    </row>
    <row r="22" spans="1:48">
      <c r="A22">
        <v>10021</v>
      </c>
      <c r="B22" t="s">
        <v>5</v>
      </c>
      <c r="C22" t="s">
        <v>29</v>
      </c>
      <c r="D22" t="s">
        <v>17</v>
      </c>
      <c r="E22" t="s">
        <v>36</v>
      </c>
      <c r="F22" t="s">
        <v>74</v>
      </c>
      <c r="G22" t="s">
        <v>95</v>
      </c>
      <c r="I22" t="b">
        <v>0</v>
      </c>
      <c r="M22">
        <v>60</v>
      </c>
      <c r="N22" t="b">
        <v>1</v>
      </c>
      <c r="O22" s="2">
        <v>0.35416666666666669</v>
      </c>
      <c r="P22" s="2">
        <v>0.9375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>
        <v>60</v>
      </c>
      <c r="Y22">
        <f t="shared" ca="1" si="2"/>
        <v>11.76</v>
      </c>
      <c r="Z22">
        <f t="shared" ca="1" si="2"/>
        <v>15.225</v>
      </c>
      <c r="AA22">
        <f t="shared" ca="1" si="2"/>
        <v>47.25</v>
      </c>
      <c r="AB22">
        <f t="shared" ca="1" si="2"/>
        <v>26.67</v>
      </c>
      <c r="AC22">
        <f t="shared" ca="1" si="2"/>
        <v>34.72</v>
      </c>
      <c r="AD22">
        <f t="shared" ca="1" si="2"/>
        <v>72.344999999999999</v>
      </c>
      <c r="AE22">
        <f t="shared" ca="1" si="2"/>
        <v>57.33</v>
      </c>
      <c r="AF22">
        <f t="shared" ca="1" si="2"/>
        <v>69.3</v>
      </c>
      <c r="AG22">
        <f t="shared" ca="1" si="2"/>
        <v>67.62</v>
      </c>
      <c r="AH22">
        <f t="shared" ca="1" si="2"/>
        <v>30.24</v>
      </c>
      <c r="AI22">
        <f t="shared" ca="1" si="2"/>
        <v>15.645</v>
      </c>
      <c r="AJ22">
        <f t="shared" ca="1" si="2"/>
        <v>2.4849999999999999</v>
      </c>
      <c r="AK22">
        <f t="shared" ca="1" si="2"/>
        <v>2.5550000000000002</v>
      </c>
      <c r="AL22">
        <f t="shared" ca="1" si="2"/>
        <v>2.2050000000000001</v>
      </c>
      <c r="AM22">
        <f t="shared" ca="1" si="2"/>
        <v>6.8949999999999996</v>
      </c>
      <c r="AN22">
        <v>70</v>
      </c>
      <c r="AO22">
        <v>15</v>
      </c>
      <c r="AP22">
        <f t="shared" ca="1" si="3"/>
        <v>67.900000000000006</v>
      </c>
      <c r="AQ22">
        <f t="shared" ca="1" si="3"/>
        <v>74.2</v>
      </c>
      <c r="AR22">
        <f t="shared" ca="1" si="3"/>
        <v>72.8</v>
      </c>
      <c r="AS22">
        <f t="shared" ca="1" si="3"/>
        <v>63</v>
      </c>
      <c r="AT22">
        <f t="shared" ca="1" si="4"/>
        <v>28</v>
      </c>
      <c r="AU22">
        <f t="shared" ca="1" si="5"/>
        <v>12.6</v>
      </c>
      <c r="AV22">
        <f t="shared" ca="1" si="6"/>
        <v>6.3</v>
      </c>
    </row>
    <row r="23" spans="1:48">
      <c r="A23">
        <v>10022</v>
      </c>
      <c r="B23" t="s">
        <v>5</v>
      </c>
      <c r="C23" t="s">
        <v>29</v>
      </c>
      <c r="D23" t="s">
        <v>35</v>
      </c>
      <c r="E23" t="s">
        <v>36</v>
      </c>
      <c r="F23" t="s">
        <v>74</v>
      </c>
      <c r="G23" t="s">
        <v>93</v>
      </c>
      <c r="I23" t="b">
        <v>1</v>
      </c>
      <c r="M23">
        <v>50</v>
      </c>
      <c r="N23" t="b">
        <v>0</v>
      </c>
      <c r="O23" s="2">
        <v>0.35416666666666669</v>
      </c>
      <c r="P23" s="2">
        <v>0.9375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>
        <v>40</v>
      </c>
      <c r="Y23">
        <f t="shared" ca="1" si="2"/>
        <v>5.88</v>
      </c>
      <c r="Z23">
        <f t="shared" ca="1" si="2"/>
        <v>26.074999999999999</v>
      </c>
      <c r="AA23">
        <f t="shared" ca="1" si="2"/>
        <v>16.065000000000001</v>
      </c>
      <c r="AB23">
        <f t="shared" ca="1" si="2"/>
        <v>23.94</v>
      </c>
      <c r="AC23">
        <f t="shared" ca="1" si="2"/>
        <v>78.959999999999994</v>
      </c>
      <c r="AD23">
        <f t="shared" ca="1" si="2"/>
        <v>24.57</v>
      </c>
      <c r="AE23">
        <f t="shared" ca="1" si="2"/>
        <v>61.25</v>
      </c>
      <c r="AF23">
        <f t="shared" ca="1" si="2"/>
        <v>37.729999999999997</v>
      </c>
      <c r="AG23">
        <f t="shared" ca="1" si="2"/>
        <v>53.9</v>
      </c>
      <c r="AH23">
        <f t="shared" ca="1" si="2"/>
        <v>21</v>
      </c>
      <c r="AI23">
        <f t="shared" ca="1" si="2"/>
        <v>10.92</v>
      </c>
      <c r="AJ23">
        <f t="shared" ca="1" si="2"/>
        <v>3.6749999999999998</v>
      </c>
      <c r="AK23">
        <f t="shared" ca="1" si="2"/>
        <v>6.5449999999999999</v>
      </c>
      <c r="AL23">
        <f t="shared" ca="1" si="2"/>
        <v>2.8</v>
      </c>
      <c r="AM23">
        <f t="shared" ca="1" si="2"/>
        <v>2.0299999999999998</v>
      </c>
      <c r="AN23">
        <v>70</v>
      </c>
      <c r="AO23">
        <v>60</v>
      </c>
      <c r="AP23">
        <f t="shared" ca="1" si="3"/>
        <v>65.8</v>
      </c>
      <c r="AQ23">
        <f t="shared" ca="1" si="3"/>
        <v>72.099999999999994</v>
      </c>
      <c r="AR23">
        <f t="shared" ca="1" si="3"/>
        <v>67.900000000000006</v>
      </c>
      <c r="AS23">
        <f t="shared" ca="1" si="3"/>
        <v>64.400000000000006</v>
      </c>
      <c r="AT23">
        <f t="shared" ca="1" si="4"/>
        <v>33.6</v>
      </c>
      <c r="AU23">
        <f t="shared" ca="1" si="5"/>
        <v>10.5</v>
      </c>
      <c r="AV23">
        <f t="shared" ca="1" si="6"/>
        <v>4.9000000000000004</v>
      </c>
    </row>
    <row r="24" spans="1:48">
      <c r="A24">
        <v>10023</v>
      </c>
      <c r="B24" t="s">
        <v>5</v>
      </c>
      <c r="C24" t="s">
        <v>29</v>
      </c>
      <c r="D24" t="s">
        <v>76</v>
      </c>
      <c r="E24" t="s">
        <v>36</v>
      </c>
      <c r="F24" t="s">
        <v>74</v>
      </c>
      <c r="G24" t="s">
        <v>93</v>
      </c>
      <c r="I24" t="b">
        <v>1</v>
      </c>
      <c r="M24">
        <v>50</v>
      </c>
      <c r="N24" t="b">
        <v>0</v>
      </c>
      <c r="O24" s="2">
        <v>0.35416666666666669</v>
      </c>
      <c r="P24" s="2">
        <v>0.9375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>
        <v>40</v>
      </c>
      <c r="Y24">
        <f t="shared" ca="1" si="2"/>
        <v>8.61</v>
      </c>
      <c r="Z24">
        <f t="shared" ca="1" si="2"/>
        <v>9.2750000000000004</v>
      </c>
      <c r="AA24">
        <f t="shared" ca="1" si="2"/>
        <v>58.59</v>
      </c>
      <c r="AB24">
        <f t="shared" ca="1" si="2"/>
        <v>24.57</v>
      </c>
      <c r="AC24">
        <f t="shared" ca="1" si="2"/>
        <v>79.52</v>
      </c>
      <c r="AD24">
        <f t="shared" ca="1" si="2"/>
        <v>61.88</v>
      </c>
      <c r="AE24">
        <f t="shared" ca="1" si="2"/>
        <v>67.62</v>
      </c>
      <c r="AF24">
        <f t="shared" ca="1" si="2"/>
        <v>46.97</v>
      </c>
      <c r="AG24">
        <f t="shared" ca="1" si="2"/>
        <v>69.09</v>
      </c>
      <c r="AH24">
        <f t="shared" ca="1" si="2"/>
        <v>20.37</v>
      </c>
      <c r="AI24">
        <f t="shared" ca="1" si="2"/>
        <v>13.335000000000001</v>
      </c>
      <c r="AJ24">
        <f t="shared" ca="1" si="2"/>
        <v>2.87</v>
      </c>
      <c r="AK24">
        <f t="shared" ca="1" si="2"/>
        <v>3.08</v>
      </c>
      <c r="AL24">
        <f t="shared" ca="1" si="2"/>
        <v>3.57</v>
      </c>
      <c r="AM24">
        <f t="shared" ca="1" si="2"/>
        <v>4.2699999999999996</v>
      </c>
      <c r="AN24">
        <v>70</v>
      </c>
      <c r="AO24">
        <v>60</v>
      </c>
      <c r="AP24">
        <f t="shared" ca="1" si="3"/>
        <v>67.900000000000006</v>
      </c>
      <c r="AQ24">
        <f t="shared" ca="1" si="3"/>
        <v>71.400000000000006</v>
      </c>
      <c r="AR24">
        <f t="shared" ca="1" si="3"/>
        <v>75.599999999999994</v>
      </c>
      <c r="AS24">
        <f t="shared" ca="1" si="3"/>
        <v>67.2</v>
      </c>
      <c r="AT24">
        <f t="shared" ca="1" si="4"/>
        <v>38.5</v>
      </c>
      <c r="AU24">
        <f t="shared" ca="1" si="5"/>
        <v>8.4</v>
      </c>
      <c r="AV24">
        <f t="shared" ca="1" si="6"/>
        <v>11.2</v>
      </c>
    </row>
    <row r="25" spans="1:48">
      <c r="A25">
        <v>10024</v>
      </c>
      <c r="B25" t="s">
        <v>5</v>
      </c>
      <c r="C25" t="s">
        <v>29</v>
      </c>
      <c r="D25" t="s">
        <v>75</v>
      </c>
      <c r="E25" t="s">
        <v>36</v>
      </c>
      <c r="F25" t="s">
        <v>74</v>
      </c>
      <c r="G25" t="s">
        <v>93</v>
      </c>
      <c r="I25" t="b">
        <v>1</v>
      </c>
      <c r="M25">
        <v>50</v>
      </c>
      <c r="N25" t="b">
        <v>0</v>
      </c>
      <c r="O25" s="2">
        <v>0.35416666666666669</v>
      </c>
      <c r="P25" s="2">
        <v>0.9375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>
        <v>40</v>
      </c>
      <c r="Y25">
        <f t="shared" ca="1" si="2"/>
        <v>13.93</v>
      </c>
      <c r="Z25">
        <f t="shared" ca="1" si="2"/>
        <v>18.024999999999999</v>
      </c>
      <c r="AA25">
        <f t="shared" ca="1" si="2"/>
        <v>62.37</v>
      </c>
      <c r="AB25">
        <f t="shared" ca="1" si="2"/>
        <v>19.53</v>
      </c>
      <c r="AC25">
        <f t="shared" ca="1" si="2"/>
        <v>42</v>
      </c>
      <c r="AD25">
        <f t="shared" ca="1" si="2"/>
        <v>86.905000000000001</v>
      </c>
      <c r="AE25">
        <f t="shared" ca="1" si="2"/>
        <v>73.5</v>
      </c>
      <c r="AF25">
        <f t="shared" ca="1" si="2"/>
        <v>75.844999999999999</v>
      </c>
      <c r="AG25">
        <f t="shared" ca="1" si="2"/>
        <v>96.53</v>
      </c>
      <c r="AH25">
        <f t="shared" ca="1" si="2"/>
        <v>26.25</v>
      </c>
      <c r="AI25">
        <f t="shared" ca="1" si="2"/>
        <v>16.8</v>
      </c>
      <c r="AJ25">
        <f t="shared" ca="1" si="2"/>
        <v>4.0949999999999998</v>
      </c>
      <c r="AK25">
        <f t="shared" ca="1" si="2"/>
        <v>3.1850000000000001</v>
      </c>
      <c r="AL25">
        <f t="shared" ca="1" si="2"/>
        <v>3.8149999999999999</v>
      </c>
      <c r="AM25">
        <f t="shared" ca="1" si="2"/>
        <v>2.8</v>
      </c>
      <c r="AN25">
        <v>70</v>
      </c>
      <c r="AO25">
        <v>60</v>
      </c>
      <c r="AP25">
        <f t="shared" ca="1" si="3"/>
        <v>65.8</v>
      </c>
      <c r="AQ25">
        <f t="shared" ca="1" si="3"/>
        <v>75.599999999999994</v>
      </c>
      <c r="AR25">
        <f t="shared" ca="1" si="3"/>
        <v>75.599999999999994</v>
      </c>
      <c r="AS25">
        <f t="shared" ca="1" si="3"/>
        <v>75.599999999999994</v>
      </c>
      <c r="AT25">
        <f t="shared" ca="1" si="4"/>
        <v>29.4</v>
      </c>
      <c r="AU25">
        <f t="shared" ca="1" si="5"/>
        <v>3.5</v>
      </c>
      <c r="AV25">
        <f t="shared" ca="1" si="6"/>
        <v>9.8000000000000007</v>
      </c>
    </row>
    <row r="26" spans="1:48" s="1" customFormat="1">
      <c r="A26">
        <v>10025</v>
      </c>
      <c r="B26" s="1" t="s">
        <v>5</v>
      </c>
      <c r="C26" s="1" t="s">
        <v>29</v>
      </c>
      <c r="D26" s="1" t="s">
        <v>37</v>
      </c>
      <c r="E26" s="1" t="s">
        <v>14</v>
      </c>
      <c r="F26" s="1" t="s">
        <v>77</v>
      </c>
      <c r="G26" s="1" t="s">
        <v>93</v>
      </c>
      <c r="I26" t="b">
        <v>1</v>
      </c>
      <c r="M26" s="1">
        <v>50</v>
      </c>
      <c r="N26" t="b">
        <v>0</v>
      </c>
      <c r="O26" s="2">
        <v>0.35416666666666669</v>
      </c>
      <c r="P26" s="2">
        <v>0.9375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s="1">
        <v>40</v>
      </c>
      <c r="Y26">
        <f t="shared" ca="1" si="2"/>
        <v>6.18</v>
      </c>
      <c r="Z26">
        <f t="shared" ca="1" si="2"/>
        <v>24.6</v>
      </c>
      <c r="AA26">
        <f t="shared" ca="1" si="2"/>
        <v>34.29</v>
      </c>
      <c r="AB26">
        <f t="shared" ca="1" si="2"/>
        <v>25.02</v>
      </c>
      <c r="AC26">
        <f t="shared" ca="1" si="2"/>
        <v>41.28</v>
      </c>
      <c r="AD26">
        <f t="shared" ca="1" si="2"/>
        <v>74.099999999999994</v>
      </c>
      <c r="AE26">
        <f t="shared" ca="1" si="2"/>
        <v>67.62</v>
      </c>
      <c r="AF26">
        <f t="shared" ca="1" si="2"/>
        <v>19.8</v>
      </c>
      <c r="AG26">
        <f t="shared" ca="1" si="2"/>
        <v>28.98</v>
      </c>
      <c r="AH26">
        <f t="shared" ca="1" si="2"/>
        <v>24.12</v>
      </c>
      <c r="AI26">
        <f t="shared" ca="1" si="2"/>
        <v>8.4600000000000009</v>
      </c>
      <c r="AJ26">
        <f t="shared" ca="1" si="2"/>
        <v>2.34</v>
      </c>
      <c r="AK26">
        <f t="shared" ca="1" si="2"/>
        <v>3.51</v>
      </c>
      <c r="AL26">
        <f t="shared" ca="1" si="2"/>
        <v>2.0699999999999998</v>
      </c>
      <c r="AM26">
        <f t="shared" ca="1" si="2"/>
        <v>3.48</v>
      </c>
      <c r="AN26" s="1">
        <v>60</v>
      </c>
      <c r="AO26" s="1">
        <v>60</v>
      </c>
      <c r="AP26">
        <f t="shared" ca="1" si="3"/>
        <v>64.2</v>
      </c>
      <c r="AQ26">
        <f t="shared" ca="1" si="3"/>
        <v>54.6</v>
      </c>
      <c r="AR26">
        <f t="shared" ca="1" si="3"/>
        <v>57.6</v>
      </c>
      <c r="AS26">
        <f t="shared" ca="1" si="3"/>
        <v>59.4</v>
      </c>
      <c r="AT26">
        <f t="shared" ca="1" si="4"/>
        <v>33</v>
      </c>
      <c r="AU26">
        <f t="shared" ca="1" si="5"/>
        <v>3</v>
      </c>
      <c r="AV26">
        <f t="shared" ca="1" si="6"/>
        <v>10.8</v>
      </c>
    </row>
    <row r="27" spans="1:48">
      <c r="A27">
        <v>10026</v>
      </c>
      <c r="B27" t="s">
        <v>5</v>
      </c>
      <c r="C27" t="s">
        <v>29</v>
      </c>
      <c r="D27" t="s">
        <v>38</v>
      </c>
      <c r="E27" t="s">
        <v>14</v>
      </c>
      <c r="F27" s="1" t="s">
        <v>77</v>
      </c>
      <c r="G27" s="1" t="s">
        <v>93</v>
      </c>
      <c r="I27" t="b">
        <v>1</v>
      </c>
      <c r="M27" s="1">
        <v>50</v>
      </c>
      <c r="N27" t="b">
        <v>0</v>
      </c>
      <c r="O27" s="2">
        <v>0.35416666666666669</v>
      </c>
      <c r="P27" s="2">
        <v>0.9375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s="1">
        <v>40</v>
      </c>
      <c r="Y27">
        <f t="shared" ca="1" si="2"/>
        <v>5.28</v>
      </c>
      <c r="Z27">
        <f t="shared" ca="1" si="2"/>
        <v>29.25</v>
      </c>
      <c r="AA27">
        <f t="shared" ca="1" si="2"/>
        <v>17.82</v>
      </c>
      <c r="AB27">
        <f t="shared" ca="1" si="2"/>
        <v>12.24</v>
      </c>
      <c r="AC27">
        <f t="shared" ca="1" si="2"/>
        <v>52.8</v>
      </c>
      <c r="AD27">
        <f t="shared" ca="1" si="2"/>
        <v>55.77</v>
      </c>
      <c r="AE27">
        <f t="shared" ca="1" si="2"/>
        <v>74.34</v>
      </c>
      <c r="AF27">
        <f t="shared" ca="1" si="2"/>
        <v>45.87</v>
      </c>
      <c r="AG27">
        <f t="shared" ca="1" si="2"/>
        <v>45.78</v>
      </c>
      <c r="AH27">
        <f t="shared" ca="1" si="2"/>
        <v>26.1</v>
      </c>
      <c r="AI27">
        <f t="shared" ca="1" si="2"/>
        <v>4.5</v>
      </c>
      <c r="AJ27">
        <f t="shared" ca="1" si="2"/>
        <v>2.82</v>
      </c>
      <c r="AK27">
        <f t="shared" ca="1" si="2"/>
        <v>4.41</v>
      </c>
      <c r="AL27">
        <f t="shared" ca="1" si="2"/>
        <v>2.67</v>
      </c>
      <c r="AM27">
        <f t="shared" ca="1" si="2"/>
        <v>3.66</v>
      </c>
      <c r="AN27" s="1">
        <v>60</v>
      </c>
      <c r="AO27" s="1">
        <v>60</v>
      </c>
      <c r="AP27">
        <f t="shared" ca="1" si="3"/>
        <v>58.2</v>
      </c>
      <c r="AQ27">
        <f t="shared" ca="1" si="3"/>
        <v>58.8</v>
      </c>
      <c r="AR27">
        <f t="shared" ca="1" si="3"/>
        <v>60.6</v>
      </c>
      <c r="AS27">
        <f t="shared" ca="1" si="3"/>
        <v>59.4</v>
      </c>
      <c r="AT27">
        <f t="shared" ca="1" si="4"/>
        <v>31.2</v>
      </c>
      <c r="AU27">
        <f t="shared" ca="1" si="5"/>
        <v>8.4</v>
      </c>
      <c r="AV27">
        <f t="shared" ca="1" si="6"/>
        <v>3</v>
      </c>
    </row>
    <row r="28" spans="1:48">
      <c r="A28">
        <v>10027</v>
      </c>
      <c r="B28" t="s">
        <v>5</v>
      </c>
      <c r="C28" t="s">
        <v>39</v>
      </c>
      <c r="D28" t="s">
        <v>40</v>
      </c>
      <c r="E28" t="s">
        <v>20</v>
      </c>
      <c r="F28" s="1" t="s">
        <v>78</v>
      </c>
      <c r="G28" s="1" t="s">
        <v>93</v>
      </c>
      <c r="I28" t="b">
        <v>1</v>
      </c>
      <c r="M28" s="1">
        <v>50</v>
      </c>
      <c r="N28" t="b">
        <v>0</v>
      </c>
      <c r="O28" s="2">
        <v>0.35416666666666669</v>
      </c>
      <c r="P28" s="2">
        <v>0.9375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  <c r="W28" t="b">
        <v>0</v>
      </c>
      <c r="X28" s="1">
        <v>50</v>
      </c>
      <c r="Y28">
        <f t="shared" ca="1" si="2"/>
        <v>6.8</v>
      </c>
      <c r="Z28">
        <f t="shared" ca="1" si="2"/>
        <v>36</v>
      </c>
      <c r="AA28">
        <f t="shared" ca="1" si="2"/>
        <v>48.96</v>
      </c>
      <c r="AB28">
        <f t="shared" ca="1" si="2"/>
        <v>32.4</v>
      </c>
      <c r="AC28">
        <f t="shared" ca="1" si="2"/>
        <v>32</v>
      </c>
      <c r="AD28">
        <f t="shared" ca="1" si="2"/>
        <v>66.040000000000006</v>
      </c>
      <c r="AE28">
        <f t="shared" ca="1" si="2"/>
        <v>50.96</v>
      </c>
      <c r="AF28">
        <f t="shared" ca="1" si="2"/>
        <v>23.76</v>
      </c>
      <c r="AG28">
        <f t="shared" ca="1" si="2"/>
        <v>68.319999999999993</v>
      </c>
      <c r="AH28">
        <f t="shared" ca="1" si="2"/>
        <v>28.32</v>
      </c>
      <c r="AI28">
        <f t="shared" ca="1" si="2"/>
        <v>9.24</v>
      </c>
      <c r="AJ28">
        <f t="shared" ca="1" si="2"/>
        <v>7.6</v>
      </c>
      <c r="AK28">
        <f t="shared" ca="1" si="2"/>
        <v>6.2</v>
      </c>
      <c r="AL28">
        <f t="shared" ca="1" si="2"/>
        <v>6.04</v>
      </c>
      <c r="AM28">
        <f t="shared" ca="1" si="2"/>
        <v>2.36</v>
      </c>
      <c r="AN28" s="1">
        <v>80</v>
      </c>
      <c r="AO28" s="1">
        <v>40</v>
      </c>
      <c r="AP28">
        <f t="shared" ca="1" si="3"/>
        <v>72.8</v>
      </c>
      <c r="AQ28">
        <f t="shared" ca="1" si="3"/>
        <v>72</v>
      </c>
      <c r="AR28">
        <f t="shared" ca="1" si="3"/>
        <v>80</v>
      </c>
      <c r="AS28">
        <f t="shared" ca="1" si="3"/>
        <v>88</v>
      </c>
      <c r="AT28">
        <f t="shared" ca="1" si="4"/>
        <v>36.799999999999997</v>
      </c>
      <c r="AU28">
        <f t="shared" ca="1" si="5"/>
        <v>0</v>
      </c>
      <c r="AV28">
        <f t="shared" ca="1" si="6"/>
        <v>0</v>
      </c>
    </row>
    <row r="29" spans="1:48">
      <c r="A29">
        <v>10028</v>
      </c>
      <c r="B29" t="s">
        <v>5</v>
      </c>
      <c r="C29" t="s">
        <v>39</v>
      </c>
      <c r="D29" t="s">
        <v>41</v>
      </c>
      <c r="E29" t="s">
        <v>20</v>
      </c>
      <c r="F29" s="1" t="s">
        <v>78</v>
      </c>
      <c r="G29" s="1" t="s">
        <v>93</v>
      </c>
      <c r="I29" t="b">
        <v>1</v>
      </c>
      <c r="M29" s="1">
        <v>50</v>
      </c>
      <c r="N29" t="b">
        <v>0</v>
      </c>
      <c r="O29" s="2">
        <v>0.35416666666666669</v>
      </c>
      <c r="P29" s="2">
        <v>0.9375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b">
        <v>0</v>
      </c>
      <c r="X29" s="1">
        <v>50</v>
      </c>
      <c r="Y29">
        <f t="shared" ca="1" si="2"/>
        <v>12.88</v>
      </c>
      <c r="Z29">
        <f t="shared" ca="1" si="2"/>
        <v>34.4</v>
      </c>
      <c r="AA29">
        <f t="shared" ca="1" si="2"/>
        <v>60.48</v>
      </c>
      <c r="AB29">
        <f t="shared" ca="1" si="2"/>
        <v>18.96</v>
      </c>
      <c r="AC29">
        <f t="shared" ca="1" si="2"/>
        <v>79.36</v>
      </c>
      <c r="AD29">
        <f t="shared" ca="1" si="2"/>
        <v>97.76</v>
      </c>
      <c r="AE29">
        <f t="shared" ca="1" si="2"/>
        <v>72.8</v>
      </c>
      <c r="AF29">
        <f t="shared" ca="1" si="2"/>
        <v>60.72</v>
      </c>
      <c r="AG29">
        <f t="shared" ca="1" si="2"/>
        <v>52.64</v>
      </c>
      <c r="AH29">
        <f t="shared" ca="1" si="2"/>
        <v>43.92</v>
      </c>
      <c r="AI29">
        <f t="shared" ca="1" si="2"/>
        <v>19.559999999999999</v>
      </c>
      <c r="AJ29">
        <f t="shared" ca="1" si="2"/>
        <v>3.8</v>
      </c>
      <c r="AK29">
        <f t="shared" ca="1" si="2"/>
        <v>7.16</v>
      </c>
      <c r="AL29">
        <f t="shared" ca="1" si="2"/>
        <v>4.84</v>
      </c>
      <c r="AM29">
        <f t="shared" ca="1" si="2"/>
        <v>8</v>
      </c>
      <c r="AN29" s="1">
        <v>80</v>
      </c>
      <c r="AO29" s="1">
        <v>40</v>
      </c>
      <c r="AP29">
        <f t="shared" ca="1" si="3"/>
        <v>88</v>
      </c>
      <c r="AQ29">
        <f t="shared" ca="1" si="3"/>
        <v>83.2</v>
      </c>
      <c r="AR29">
        <f t="shared" ca="1" si="3"/>
        <v>76.8</v>
      </c>
      <c r="AS29">
        <f t="shared" ca="1" si="3"/>
        <v>72</v>
      </c>
      <c r="AT29">
        <f t="shared" ca="1" si="4"/>
        <v>42.4</v>
      </c>
      <c r="AU29">
        <f t="shared" ca="1" si="5"/>
        <v>0</v>
      </c>
      <c r="AV29">
        <f t="shared" ca="1" si="6"/>
        <v>0</v>
      </c>
    </row>
    <row r="30" spans="1:48">
      <c r="A30">
        <v>10029</v>
      </c>
      <c r="B30" t="s">
        <v>5</v>
      </c>
      <c r="C30" t="s">
        <v>39</v>
      </c>
      <c r="D30" t="s">
        <v>42</v>
      </c>
      <c r="E30" t="s">
        <v>36</v>
      </c>
      <c r="G30" s="1" t="s">
        <v>93</v>
      </c>
      <c r="I30" t="b">
        <v>1</v>
      </c>
      <c r="M30" s="1">
        <v>50</v>
      </c>
      <c r="N30" t="b">
        <v>0</v>
      </c>
      <c r="O30" s="2">
        <v>0.35416666666666669</v>
      </c>
      <c r="P30" s="2">
        <v>0.9375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  <c r="W30" t="b">
        <v>0</v>
      </c>
      <c r="X30" s="1">
        <v>50</v>
      </c>
      <c r="Y30">
        <f t="shared" ca="1" si="2"/>
        <v>9.68</v>
      </c>
      <c r="Z30">
        <f t="shared" ca="1" si="2"/>
        <v>20</v>
      </c>
      <c r="AA30">
        <f t="shared" ca="1" si="2"/>
        <v>45.36</v>
      </c>
      <c r="AB30">
        <f t="shared" ca="1" si="2"/>
        <v>44.88</v>
      </c>
      <c r="AC30">
        <f t="shared" ca="1" si="2"/>
        <v>118.4</v>
      </c>
      <c r="AD30">
        <f t="shared" ca="1" si="2"/>
        <v>31.2</v>
      </c>
      <c r="AE30">
        <f t="shared" ca="1" si="2"/>
        <v>48.16</v>
      </c>
      <c r="AF30">
        <f t="shared" ca="1" si="2"/>
        <v>26.4</v>
      </c>
      <c r="AG30">
        <f t="shared" ca="1" si="2"/>
        <v>37.520000000000003</v>
      </c>
      <c r="AH30">
        <f t="shared" ca="1" si="2"/>
        <v>47.04</v>
      </c>
      <c r="AI30">
        <f t="shared" ca="1" si="2"/>
        <v>22.2</v>
      </c>
      <c r="AJ30">
        <f t="shared" ca="1" si="2"/>
        <v>4.8</v>
      </c>
      <c r="AK30">
        <f t="shared" ca="1" si="2"/>
        <v>6.76</v>
      </c>
      <c r="AL30">
        <f t="shared" ca="1" si="2"/>
        <v>4.12</v>
      </c>
      <c r="AM30">
        <f t="shared" ca="1" si="2"/>
        <v>2.2400000000000002</v>
      </c>
      <c r="AN30" s="1">
        <v>80</v>
      </c>
      <c r="AO30" s="1">
        <v>40</v>
      </c>
      <c r="AP30">
        <f t="shared" ca="1" si="3"/>
        <v>87.2</v>
      </c>
      <c r="AQ30">
        <f t="shared" ca="1" si="3"/>
        <v>72</v>
      </c>
      <c r="AR30">
        <f t="shared" ca="1" si="3"/>
        <v>82.4</v>
      </c>
      <c r="AS30">
        <f t="shared" ca="1" si="3"/>
        <v>81.599999999999994</v>
      </c>
      <c r="AT30">
        <f t="shared" ca="1" si="4"/>
        <v>38.4</v>
      </c>
      <c r="AU30">
        <f t="shared" ca="1" si="5"/>
        <v>0</v>
      </c>
      <c r="AV30">
        <f t="shared" ca="1" si="6"/>
        <v>0</v>
      </c>
    </row>
    <row r="31" spans="1:48">
      <c r="A31">
        <v>10030</v>
      </c>
      <c r="B31" t="s">
        <v>5</v>
      </c>
      <c r="C31" t="s">
        <v>43</v>
      </c>
      <c r="D31" t="s">
        <v>44</v>
      </c>
      <c r="E31" t="s">
        <v>14</v>
      </c>
      <c r="G31" s="1" t="s">
        <v>93</v>
      </c>
      <c r="I31" t="b">
        <v>1</v>
      </c>
      <c r="M31" s="1">
        <v>50</v>
      </c>
      <c r="N31" t="b">
        <v>0</v>
      </c>
      <c r="O31" s="2">
        <v>0.35416666666666669</v>
      </c>
      <c r="P31" s="2">
        <v>0.9375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  <c r="W31" t="b">
        <v>0</v>
      </c>
      <c r="X31" s="1">
        <v>50</v>
      </c>
      <c r="Y31">
        <f t="shared" ca="1" si="2"/>
        <v>2.75</v>
      </c>
      <c r="Z31">
        <f t="shared" ca="1" si="2"/>
        <v>14.5</v>
      </c>
      <c r="AA31">
        <f t="shared" ca="1" si="2"/>
        <v>42.975000000000001</v>
      </c>
      <c r="AB31">
        <f t="shared" ca="1" si="2"/>
        <v>12.6</v>
      </c>
      <c r="AC31">
        <f t="shared" ca="1" si="2"/>
        <v>25.6</v>
      </c>
      <c r="AD31">
        <f t="shared" ca="1" si="2"/>
        <v>33.799999999999997</v>
      </c>
      <c r="AE31">
        <f t="shared" ca="1" si="2"/>
        <v>17.850000000000001</v>
      </c>
      <c r="AF31">
        <f t="shared" ca="1" si="2"/>
        <v>53.625</v>
      </c>
      <c r="AG31">
        <f t="shared" ca="1" si="2"/>
        <v>34.299999999999997</v>
      </c>
      <c r="AH31">
        <f t="shared" ca="1" si="2"/>
        <v>8.5500000000000007</v>
      </c>
      <c r="AI31">
        <f t="shared" ca="1" si="2"/>
        <v>10.5</v>
      </c>
      <c r="AJ31">
        <f t="shared" ca="1" si="2"/>
        <v>3.4750000000000001</v>
      </c>
      <c r="AK31">
        <f t="shared" ca="1" si="2"/>
        <v>3.3250000000000002</v>
      </c>
      <c r="AL31">
        <f t="shared" ca="1" si="2"/>
        <v>3.8</v>
      </c>
      <c r="AM31">
        <f t="shared" ca="1" si="2"/>
        <v>1.25</v>
      </c>
      <c r="AN31" s="1">
        <v>50</v>
      </c>
      <c r="AO31" s="1">
        <v>50</v>
      </c>
      <c r="AP31">
        <f t="shared" ca="1" si="3"/>
        <v>50</v>
      </c>
      <c r="AQ31">
        <f t="shared" ca="1" si="3"/>
        <v>49.5</v>
      </c>
      <c r="AR31">
        <f t="shared" ca="1" si="3"/>
        <v>50</v>
      </c>
      <c r="AS31">
        <f t="shared" ca="1" si="3"/>
        <v>50.5</v>
      </c>
      <c r="AT31">
        <f t="shared" ca="1" si="4"/>
        <v>27.5</v>
      </c>
      <c r="AU31">
        <f t="shared" ca="1" si="5"/>
        <v>0</v>
      </c>
      <c r="AV31">
        <f t="shared" ca="1" si="6"/>
        <v>0</v>
      </c>
    </row>
    <row r="32" spans="1:48">
      <c r="A32">
        <v>10031</v>
      </c>
      <c r="B32" t="s">
        <v>5</v>
      </c>
      <c r="C32" t="s">
        <v>45</v>
      </c>
      <c r="D32" t="s">
        <v>46</v>
      </c>
      <c r="E32" t="s">
        <v>20</v>
      </c>
      <c r="F32" t="s">
        <v>79</v>
      </c>
      <c r="G32" s="1" t="s">
        <v>93</v>
      </c>
      <c r="I32" t="b">
        <v>1</v>
      </c>
      <c r="M32" s="1">
        <v>70</v>
      </c>
      <c r="N32" t="b">
        <v>1</v>
      </c>
      <c r="O32" s="2">
        <v>0.35416666666666669</v>
      </c>
      <c r="P32" s="2">
        <v>0.9375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b">
        <v>0</v>
      </c>
      <c r="X32" s="1">
        <v>90</v>
      </c>
      <c r="Y32">
        <f t="shared" ca="1" si="2"/>
        <v>10.6</v>
      </c>
      <c r="Z32">
        <f t="shared" ca="1" si="2"/>
        <v>49.5</v>
      </c>
      <c r="AA32">
        <f t="shared" ca="1" si="2"/>
        <v>66.150000000000006</v>
      </c>
      <c r="AB32">
        <f t="shared" ca="1" si="2"/>
        <v>42.3</v>
      </c>
      <c r="AC32">
        <f t="shared" ca="1" si="2"/>
        <v>64.8</v>
      </c>
      <c r="AD32">
        <f t="shared" ca="1" si="2"/>
        <v>77.349999999999994</v>
      </c>
      <c r="AE32">
        <f t="shared" ca="1" si="2"/>
        <v>81.2</v>
      </c>
      <c r="AF32">
        <f t="shared" ca="1" si="2"/>
        <v>70.95</v>
      </c>
      <c r="AG32">
        <f t="shared" ca="1" si="2"/>
        <v>46.9</v>
      </c>
      <c r="AH32">
        <f t="shared" ca="1" si="2"/>
        <v>54.3</v>
      </c>
      <c r="AI32">
        <f t="shared" ca="1" si="2"/>
        <v>19.95</v>
      </c>
      <c r="AJ32">
        <f t="shared" ca="1" si="2"/>
        <v>6.55</v>
      </c>
      <c r="AK32">
        <f t="shared" ca="1" si="2"/>
        <v>8.6</v>
      </c>
      <c r="AL32">
        <f t="shared" ca="1" si="2"/>
        <v>6.9</v>
      </c>
      <c r="AM32">
        <f t="shared" ca="1" si="2"/>
        <v>6.45</v>
      </c>
      <c r="AN32" s="1">
        <v>100</v>
      </c>
      <c r="AO32" s="1">
        <v>30</v>
      </c>
      <c r="AP32">
        <f t="shared" ca="1" si="3"/>
        <v>99</v>
      </c>
      <c r="AQ32">
        <f t="shared" ca="1" si="3"/>
        <v>91</v>
      </c>
      <c r="AR32">
        <f t="shared" ca="1" si="3"/>
        <v>108</v>
      </c>
      <c r="AS32">
        <f t="shared" ca="1" si="3"/>
        <v>96</v>
      </c>
      <c r="AT32">
        <f t="shared" ca="1" si="4"/>
        <v>52</v>
      </c>
      <c r="AU32">
        <f t="shared" ca="1" si="5"/>
        <v>0</v>
      </c>
      <c r="AV32">
        <f t="shared" ca="1" si="6"/>
        <v>0</v>
      </c>
    </row>
    <row r="33" spans="1:48">
      <c r="A33">
        <v>10032</v>
      </c>
      <c r="B33" t="s">
        <v>5</v>
      </c>
      <c r="C33" t="s">
        <v>47</v>
      </c>
      <c r="D33" t="s">
        <v>48</v>
      </c>
      <c r="E33" t="s">
        <v>36</v>
      </c>
      <c r="G33" s="1" t="s">
        <v>93</v>
      </c>
      <c r="I33" t="b">
        <v>1</v>
      </c>
      <c r="M33" s="1">
        <v>50</v>
      </c>
      <c r="N33" t="b">
        <v>0</v>
      </c>
      <c r="O33" s="2">
        <v>0.35416666666666669</v>
      </c>
      <c r="P33" s="2">
        <v>0.9375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  <c r="W33" t="b">
        <v>0</v>
      </c>
      <c r="X33" s="1">
        <v>50</v>
      </c>
      <c r="Y33">
        <f t="shared" ca="1" si="2"/>
        <v>3.7</v>
      </c>
      <c r="Z33">
        <f t="shared" ca="1" si="2"/>
        <v>11.75</v>
      </c>
      <c r="AA33">
        <f t="shared" ca="1" si="2"/>
        <v>27.9</v>
      </c>
      <c r="AB33">
        <f t="shared" ca="1" si="2"/>
        <v>30</v>
      </c>
      <c r="AC33">
        <f t="shared" ca="1" si="2"/>
        <v>49.6</v>
      </c>
      <c r="AD33">
        <f t="shared" ca="1" si="2"/>
        <v>63.05</v>
      </c>
      <c r="AE33">
        <f t="shared" ca="1" si="2"/>
        <v>32.549999999999997</v>
      </c>
      <c r="AF33">
        <f t="shared" ca="1" si="2"/>
        <v>48.4</v>
      </c>
      <c r="AG33">
        <f t="shared" ca="1" si="2"/>
        <v>40.25</v>
      </c>
      <c r="AH33">
        <f t="shared" ca="1" si="2"/>
        <v>23.7</v>
      </c>
      <c r="AI33">
        <f t="shared" ca="1" si="2"/>
        <v>14.4</v>
      </c>
      <c r="AJ33">
        <f t="shared" ca="1" si="2"/>
        <v>5</v>
      </c>
      <c r="AK33">
        <f t="shared" ca="1" si="2"/>
        <v>3.65</v>
      </c>
      <c r="AL33">
        <f t="shared" ca="1" si="2"/>
        <v>3.15</v>
      </c>
      <c r="AM33">
        <f t="shared" ca="1" si="2"/>
        <v>4.25</v>
      </c>
      <c r="AN33" s="1">
        <v>50</v>
      </c>
      <c r="AO33" s="1">
        <v>50</v>
      </c>
      <c r="AP33">
        <f t="shared" ca="1" si="3"/>
        <v>49.5</v>
      </c>
      <c r="AQ33">
        <f t="shared" ca="1" si="3"/>
        <v>46</v>
      </c>
      <c r="AR33">
        <f t="shared" ca="1" si="3"/>
        <v>46.5</v>
      </c>
      <c r="AS33">
        <f t="shared" ca="1" si="3"/>
        <v>45.5</v>
      </c>
      <c r="AT33">
        <f t="shared" ca="1" si="4"/>
        <v>27</v>
      </c>
      <c r="AU33">
        <f t="shared" ca="1" si="5"/>
        <v>0</v>
      </c>
      <c r="AV33">
        <f t="shared" ca="1" si="6"/>
        <v>0</v>
      </c>
    </row>
    <row r="34" spans="1:48">
      <c r="A34">
        <v>10033</v>
      </c>
      <c r="B34" t="s">
        <v>5</v>
      </c>
      <c r="C34" t="s">
        <v>47</v>
      </c>
      <c r="D34" t="s">
        <v>49</v>
      </c>
      <c r="E34" t="s">
        <v>36</v>
      </c>
      <c r="G34" s="1" t="s">
        <v>93</v>
      </c>
      <c r="I34" t="b">
        <v>1</v>
      </c>
      <c r="M34" s="1">
        <v>50</v>
      </c>
      <c r="N34" t="b">
        <v>0</v>
      </c>
      <c r="O34" s="2">
        <v>0.35416666666666669</v>
      </c>
      <c r="P34" s="2">
        <v>0.9375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  <c r="W34" t="b">
        <v>0</v>
      </c>
      <c r="X34" s="1">
        <v>50</v>
      </c>
      <c r="Y34">
        <f t="shared" ref="Y34:AM62" ca="1" si="7">Y$63*RANDBETWEEN(50,200)*$AN34/100/100</f>
        <v>5.0999999999999996</v>
      </c>
      <c r="Z34">
        <f t="shared" ca="1" si="7"/>
        <v>21</v>
      </c>
      <c r="AA34">
        <f t="shared" ca="1" si="7"/>
        <v>38.924999999999997</v>
      </c>
      <c r="AB34">
        <f t="shared" ca="1" si="7"/>
        <v>15.9</v>
      </c>
      <c r="AC34">
        <f t="shared" ca="1" si="7"/>
        <v>64</v>
      </c>
      <c r="AD34">
        <f t="shared" ca="1" si="7"/>
        <v>17.55</v>
      </c>
      <c r="AE34">
        <f t="shared" ca="1" si="7"/>
        <v>60.55</v>
      </c>
      <c r="AF34">
        <f t="shared" ca="1" si="7"/>
        <v>20.625</v>
      </c>
      <c r="AG34">
        <f t="shared" ca="1" si="7"/>
        <v>67.900000000000006</v>
      </c>
      <c r="AH34">
        <f t="shared" ca="1" si="7"/>
        <v>18.899999999999999</v>
      </c>
      <c r="AI34">
        <f t="shared" ca="1" si="7"/>
        <v>14.55</v>
      </c>
      <c r="AJ34">
        <f t="shared" ca="1" si="7"/>
        <v>4.2750000000000004</v>
      </c>
      <c r="AK34">
        <f t="shared" ca="1" si="7"/>
        <v>1.65</v>
      </c>
      <c r="AL34">
        <f t="shared" ca="1" si="7"/>
        <v>3.45</v>
      </c>
      <c r="AM34">
        <f t="shared" ca="1" si="7"/>
        <v>1.55</v>
      </c>
      <c r="AN34" s="1">
        <v>50</v>
      </c>
      <c r="AO34" s="1">
        <v>50</v>
      </c>
      <c r="AP34">
        <f t="shared" ca="1" si="3"/>
        <v>48</v>
      </c>
      <c r="AQ34">
        <f t="shared" ca="1" si="3"/>
        <v>46</v>
      </c>
      <c r="AR34">
        <f t="shared" ca="1" si="3"/>
        <v>51.5</v>
      </c>
      <c r="AS34">
        <f t="shared" ca="1" si="3"/>
        <v>49.5</v>
      </c>
      <c r="AT34">
        <f t="shared" ca="1" si="4"/>
        <v>20.5</v>
      </c>
      <c r="AU34">
        <f t="shared" ca="1" si="5"/>
        <v>0</v>
      </c>
      <c r="AV34">
        <f t="shared" ca="1" si="6"/>
        <v>0</v>
      </c>
    </row>
    <row r="35" spans="1:48">
      <c r="A35">
        <v>10034</v>
      </c>
      <c r="B35" t="s">
        <v>5</v>
      </c>
      <c r="C35" t="s">
        <v>47</v>
      </c>
      <c r="D35" t="s">
        <v>50</v>
      </c>
      <c r="E35" t="s">
        <v>14</v>
      </c>
      <c r="G35" s="1" t="s">
        <v>93</v>
      </c>
      <c r="I35" t="b">
        <v>1</v>
      </c>
      <c r="M35" s="1">
        <v>50</v>
      </c>
      <c r="N35" t="b">
        <v>0</v>
      </c>
      <c r="O35" s="2">
        <v>0.35416666666666669</v>
      </c>
      <c r="P35" s="2">
        <v>0.9375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  <c r="W35" t="b">
        <v>0</v>
      </c>
      <c r="X35" s="1">
        <v>50</v>
      </c>
      <c r="Y35">
        <f t="shared" ca="1" si="7"/>
        <v>3.7</v>
      </c>
      <c r="Z35">
        <f t="shared" ca="1" si="7"/>
        <v>15.625</v>
      </c>
      <c r="AA35">
        <f t="shared" ca="1" si="7"/>
        <v>44.325000000000003</v>
      </c>
      <c r="AB35">
        <f t="shared" ca="1" si="7"/>
        <v>24</v>
      </c>
      <c r="AC35">
        <f t="shared" ca="1" si="7"/>
        <v>41.2</v>
      </c>
      <c r="AD35">
        <f t="shared" ca="1" si="7"/>
        <v>59.15</v>
      </c>
      <c r="AE35">
        <f t="shared" ca="1" si="7"/>
        <v>50.05</v>
      </c>
      <c r="AF35">
        <f t="shared" ca="1" si="7"/>
        <v>49.774999999999999</v>
      </c>
      <c r="AG35">
        <f t="shared" ca="1" si="7"/>
        <v>65.099999999999994</v>
      </c>
      <c r="AH35">
        <f t="shared" ca="1" si="7"/>
        <v>14.25</v>
      </c>
      <c r="AI35">
        <f t="shared" ca="1" si="7"/>
        <v>12.15</v>
      </c>
      <c r="AJ35">
        <f t="shared" ca="1" si="7"/>
        <v>3.375</v>
      </c>
      <c r="AK35">
        <f t="shared" ca="1" si="7"/>
        <v>3.25</v>
      </c>
      <c r="AL35">
        <f t="shared" ca="1" si="7"/>
        <v>3.75</v>
      </c>
      <c r="AM35">
        <f t="shared" ca="1" si="7"/>
        <v>3.45</v>
      </c>
      <c r="AN35" s="1">
        <v>50</v>
      </c>
      <c r="AO35" s="1">
        <v>50</v>
      </c>
      <c r="AP35">
        <f t="shared" ref="AP35:AS62" ca="1" si="8">$AN35*RANDBETWEEN(90,110)/100</f>
        <v>54</v>
      </c>
      <c r="AQ35">
        <f t="shared" ca="1" si="8"/>
        <v>51.5</v>
      </c>
      <c r="AR35">
        <f t="shared" ca="1" si="8"/>
        <v>53</v>
      </c>
      <c r="AS35">
        <f t="shared" ca="1" si="8"/>
        <v>45.5</v>
      </c>
      <c r="AT35">
        <f t="shared" ca="1" si="4"/>
        <v>26</v>
      </c>
      <c r="AU35">
        <f t="shared" ca="1" si="5"/>
        <v>0</v>
      </c>
      <c r="AV35">
        <f t="shared" ca="1" si="6"/>
        <v>0</v>
      </c>
    </row>
    <row r="36" spans="1:48">
      <c r="A36">
        <v>10035</v>
      </c>
      <c r="B36" t="s">
        <v>5</v>
      </c>
      <c r="C36" t="s">
        <v>47</v>
      </c>
      <c r="D36" t="s">
        <v>51</v>
      </c>
      <c r="E36" t="s">
        <v>14</v>
      </c>
      <c r="G36" s="1" t="s">
        <v>93</v>
      </c>
      <c r="I36" t="b">
        <v>1</v>
      </c>
      <c r="M36" s="1">
        <v>50</v>
      </c>
      <c r="N36" t="b">
        <v>0</v>
      </c>
      <c r="O36" s="2">
        <v>0.35416666666666669</v>
      </c>
      <c r="P36" s="2">
        <v>0.9375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  <c r="W36" t="b">
        <v>0</v>
      </c>
      <c r="X36" s="1">
        <v>50</v>
      </c>
      <c r="Y36">
        <f t="shared" ca="1" si="7"/>
        <v>2.95</v>
      </c>
      <c r="Z36">
        <f t="shared" ca="1" si="7"/>
        <v>24.125</v>
      </c>
      <c r="AA36">
        <f t="shared" ca="1" si="7"/>
        <v>14.85</v>
      </c>
      <c r="AB36">
        <f t="shared" ca="1" si="7"/>
        <v>10.35</v>
      </c>
      <c r="AC36">
        <f t="shared" ca="1" si="7"/>
        <v>80</v>
      </c>
      <c r="AD36">
        <f t="shared" ca="1" si="7"/>
        <v>48.75</v>
      </c>
      <c r="AE36">
        <f t="shared" ca="1" si="7"/>
        <v>30.8</v>
      </c>
      <c r="AF36">
        <f t="shared" ca="1" si="7"/>
        <v>55</v>
      </c>
      <c r="AG36">
        <f t="shared" ca="1" si="7"/>
        <v>29.05</v>
      </c>
      <c r="AH36">
        <f t="shared" ca="1" si="7"/>
        <v>9.4499999999999993</v>
      </c>
      <c r="AI36">
        <f t="shared" ca="1" si="7"/>
        <v>13.275</v>
      </c>
      <c r="AJ36">
        <f t="shared" ca="1" si="7"/>
        <v>1.7250000000000001</v>
      </c>
      <c r="AK36">
        <f t="shared" ca="1" si="7"/>
        <v>3.05</v>
      </c>
      <c r="AL36">
        <f t="shared" ca="1" si="7"/>
        <v>4.0999999999999996</v>
      </c>
      <c r="AM36">
        <f t="shared" ca="1" si="7"/>
        <v>3.75</v>
      </c>
      <c r="AN36" s="1">
        <v>50</v>
      </c>
      <c r="AO36" s="1">
        <v>50</v>
      </c>
      <c r="AP36">
        <f t="shared" ca="1" si="8"/>
        <v>49.5</v>
      </c>
      <c r="AQ36">
        <f t="shared" ca="1" si="8"/>
        <v>52.5</v>
      </c>
      <c r="AR36">
        <f t="shared" ca="1" si="8"/>
        <v>45.5</v>
      </c>
      <c r="AS36">
        <f t="shared" ca="1" si="8"/>
        <v>50</v>
      </c>
      <c r="AT36">
        <f t="shared" ca="1" si="4"/>
        <v>25</v>
      </c>
      <c r="AU36">
        <f t="shared" ca="1" si="5"/>
        <v>0</v>
      </c>
      <c r="AV36">
        <f t="shared" ca="1" si="6"/>
        <v>0</v>
      </c>
    </row>
    <row r="37" spans="1:48">
      <c r="A37">
        <v>10036</v>
      </c>
      <c r="B37" t="s">
        <v>5</v>
      </c>
      <c r="C37" t="s">
        <v>52</v>
      </c>
      <c r="D37" t="s">
        <v>46</v>
      </c>
      <c r="E37" t="s">
        <v>20</v>
      </c>
      <c r="G37" s="1" t="s">
        <v>93</v>
      </c>
      <c r="I37" t="b">
        <v>1</v>
      </c>
      <c r="M37" s="1">
        <v>50</v>
      </c>
      <c r="N37" t="b">
        <v>0</v>
      </c>
      <c r="O37" s="2">
        <v>0.35416666666666669</v>
      </c>
      <c r="P37" s="2">
        <v>0.9375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  <c r="W37" t="b">
        <v>0</v>
      </c>
      <c r="X37" s="1">
        <v>70</v>
      </c>
      <c r="Y37">
        <f t="shared" ca="1" si="7"/>
        <v>13.3</v>
      </c>
      <c r="Z37">
        <f t="shared" ca="1" si="7"/>
        <v>36</v>
      </c>
      <c r="AA37">
        <f t="shared" ca="1" si="7"/>
        <v>52.65</v>
      </c>
      <c r="AB37">
        <f t="shared" ca="1" si="7"/>
        <v>32.700000000000003</v>
      </c>
      <c r="AC37">
        <f t="shared" ca="1" si="7"/>
        <v>150.4</v>
      </c>
      <c r="AD37">
        <f t="shared" ca="1" si="7"/>
        <v>44.85</v>
      </c>
      <c r="AE37">
        <f t="shared" ca="1" si="7"/>
        <v>53.2</v>
      </c>
      <c r="AF37">
        <f t="shared" ca="1" si="7"/>
        <v>28.6</v>
      </c>
      <c r="AG37">
        <f t="shared" ca="1" si="7"/>
        <v>61.6</v>
      </c>
      <c r="AH37">
        <f t="shared" ca="1" si="7"/>
        <v>53.7</v>
      </c>
      <c r="AI37">
        <f t="shared" ca="1" si="7"/>
        <v>11.1</v>
      </c>
      <c r="AJ37">
        <f t="shared" ca="1" si="7"/>
        <v>4.05</v>
      </c>
      <c r="AK37">
        <f t="shared" ca="1" si="7"/>
        <v>9.5</v>
      </c>
      <c r="AL37">
        <f t="shared" ca="1" si="7"/>
        <v>9.4</v>
      </c>
      <c r="AM37">
        <f t="shared" ca="1" si="7"/>
        <v>9.8000000000000007</v>
      </c>
      <c r="AN37" s="1">
        <v>100</v>
      </c>
      <c r="AO37" s="1">
        <v>50</v>
      </c>
      <c r="AP37">
        <f t="shared" ca="1" si="8"/>
        <v>109</v>
      </c>
      <c r="AQ37">
        <f t="shared" ca="1" si="8"/>
        <v>104</v>
      </c>
      <c r="AR37">
        <f t="shared" ca="1" si="8"/>
        <v>93</v>
      </c>
      <c r="AS37">
        <f t="shared" ca="1" si="8"/>
        <v>106</v>
      </c>
      <c r="AT37">
        <f t="shared" ca="1" si="4"/>
        <v>45</v>
      </c>
      <c r="AU37">
        <f t="shared" ca="1" si="5"/>
        <v>0</v>
      </c>
      <c r="AV37">
        <f t="shared" ca="1" si="6"/>
        <v>0</v>
      </c>
    </row>
    <row r="38" spans="1:48">
      <c r="A38">
        <v>10037</v>
      </c>
      <c r="B38" t="s">
        <v>5</v>
      </c>
      <c r="C38" t="s">
        <v>53</v>
      </c>
      <c r="D38" t="s">
        <v>46</v>
      </c>
      <c r="E38" t="s">
        <v>20</v>
      </c>
      <c r="G38" s="1" t="s">
        <v>93</v>
      </c>
      <c r="I38" t="b">
        <v>1</v>
      </c>
      <c r="M38" s="1">
        <v>50</v>
      </c>
      <c r="N38" t="b">
        <v>0</v>
      </c>
      <c r="O38" s="2">
        <v>0.35416666666666669</v>
      </c>
      <c r="P38" s="2">
        <v>0.9375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  <c r="W38" t="b">
        <v>0</v>
      </c>
      <c r="X38" s="1">
        <v>50</v>
      </c>
      <c r="Y38">
        <f t="shared" ca="1" si="7"/>
        <v>11.4</v>
      </c>
      <c r="Z38">
        <f t="shared" ca="1" si="7"/>
        <v>11.55</v>
      </c>
      <c r="AA38">
        <f t="shared" ca="1" si="7"/>
        <v>19.71</v>
      </c>
      <c r="AB38">
        <f t="shared" ca="1" si="7"/>
        <v>12.78</v>
      </c>
      <c r="AC38">
        <f t="shared" ca="1" si="7"/>
        <v>34.56</v>
      </c>
      <c r="AD38">
        <f t="shared" ca="1" si="7"/>
        <v>30.03</v>
      </c>
      <c r="AE38">
        <f t="shared" ca="1" si="7"/>
        <v>78.540000000000006</v>
      </c>
      <c r="AF38">
        <f t="shared" ca="1" si="7"/>
        <v>56.1</v>
      </c>
      <c r="AG38">
        <f t="shared" ca="1" si="7"/>
        <v>30.24</v>
      </c>
      <c r="AH38">
        <f t="shared" ca="1" si="7"/>
        <v>25.92</v>
      </c>
      <c r="AI38">
        <f t="shared" ca="1" si="7"/>
        <v>13.95</v>
      </c>
      <c r="AJ38">
        <f t="shared" ca="1" si="7"/>
        <v>2.2799999999999998</v>
      </c>
      <c r="AK38">
        <f t="shared" ca="1" si="7"/>
        <v>2.94</v>
      </c>
      <c r="AL38">
        <f t="shared" ca="1" si="7"/>
        <v>1.89</v>
      </c>
      <c r="AM38">
        <f t="shared" ca="1" si="7"/>
        <v>4.8600000000000003</v>
      </c>
      <c r="AN38" s="1">
        <v>60</v>
      </c>
      <c r="AO38" s="1">
        <v>50</v>
      </c>
      <c r="AP38">
        <f t="shared" ca="1" si="8"/>
        <v>54.6</v>
      </c>
      <c r="AQ38">
        <f t="shared" ca="1" si="8"/>
        <v>64.2</v>
      </c>
      <c r="AR38">
        <f t="shared" ca="1" si="8"/>
        <v>54.6</v>
      </c>
      <c r="AS38">
        <f t="shared" ca="1" si="8"/>
        <v>59.4</v>
      </c>
      <c r="AT38">
        <f t="shared" ca="1" si="4"/>
        <v>26.4</v>
      </c>
      <c r="AU38">
        <f t="shared" ca="1" si="5"/>
        <v>0</v>
      </c>
      <c r="AV38">
        <f t="shared" ca="1" si="6"/>
        <v>0</v>
      </c>
    </row>
    <row r="39" spans="1:48">
      <c r="A39">
        <v>20001</v>
      </c>
      <c r="B39" t="s">
        <v>54</v>
      </c>
      <c r="C39" t="s">
        <v>55</v>
      </c>
      <c r="D39" t="s">
        <v>46</v>
      </c>
      <c r="E39" t="s">
        <v>20</v>
      </c>
      <c r="F39" t="s">
        <v>80</v>
      </c>
      <c r="G39" s="1" t="s">
        <v>93</v>
      </c>
      <c r="I39" t="b">
        <v>1</v>
      </c>
      <c r="M39" s="1">
        <v>50</v>
      </c>
      <c r="N39" t="b">
        <v>0</v>
      </c>
      <c r="O39" s="2">
        <v>0.35416666666666669</v>
      </c>
      <c r="P39" s="2">
        <v>0.9375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  <c r="W39" t="b">
        <v>0</v>
      </c>
      <c r="X39" s="1">
        <v>50</v>
      </c>
      <c r="Y39">
        <f t="shared" ca="1" si="7"/>
        <v>7.08</v>
      </c>
      <c r="Z39">
        <f t="shared" ca="1" si="7"/>
        <v>23.85</v>
      </c>
      <c r="AA39">
        <f t="shared" ca="1" si="7"/>
        <v>31.05</v>
      </c>
      <c r="AB39">
        <f t="shared" ca="1" si="7"/>
        <v>32.04</v>
      </c>
      <c r="AC39">
        <f t="shared" ca="1" si="7"/>
        <v>61.44</v>
      </c>
      <c r="AD39">
        <f t="shared" ca="1" si="7"/>
        <v>54.6</v>
      </c>
      <c r="AE39">
        <f t="shared" ca="1" si="7"/>
        <v>71.819999999999993</v>
      </c>
      <c r="AF39">
        <f t="shared" ca="1" si="7"/>
        <v>37.619999999999997</v>
      </c>
      <c r="AG39">
        <f t="shared" ca="1" si="7"/>
        <v>29.82</v>
      </c>
      <c r="AH39">
        <f t="shared" ca="1" si="7"/>
        <v>36</v>
      </c>
      <c r="AI39">
        <f t="shared" ca="1" si="7"/>
        <v>12.6</v>
      </c>
      <c r="AJ39">
        <f t="shared" ca="1" si="7"/>
        <v>2.46</v>
      </c>
      <c r="AK39">
        <f t="shared" ca="1" si="7"/>
        <v>4.6500000000000004</v>
      </c>
      <c r="AL39">
        <f t="shared" ca="1" si="7"/>
        <v>1.68</v>
      </c>
      <c r="AM39">
        <f t="shared" ca="1" si="7"/>
        <v>1.95</v>
      </c>
      <c r="AN39" s="1">
        <v>60</v>
      </c>
      <c r="AO39" s="1">
        <v>50</v>
      </c>
      <c r="AP39">
        <f t="shared" ca="1" si="8"/>
        <v>63.6</v>
      </c>
      <c r="AQ39">
        <f t="shared" ca="1" si="8"/>
        <v>55.8</v>
      </c>
      <c r="AR39">
        <f t="shared" ca="1" si="8"/>
        <v>58.8</v>
      </c>
      <c r="AS39">
        <f t="shared" ca="1" si="8"/>
        <v>60</v>
      </c>
      <c r="AT39">
        <f t="shared" ca="1" si="4"/>
        <v>25.2</v>
      </c>
      <c r="AU39">
        <f t="shared" ca="1" si="5"/>
        <v>0</v>
      </c>
      <c r="AV39">
        <f t="shared" ca="1" si="6"/>
        <v>0</v>
      </c>
    </row>
    <row r="40" spans="1:48">
      <c r="A40">
        <v>20002</v>
      </c>
      <c r="B40" t="s">
        <v>54</v>
      </c>
      <c r="C40" t="s">
        <v>56</v>
      </c>
      <c r="D40" t="s">
        <v>46</v>
      </c>
      <c r="E40" t="s">
        <v>20</v>
      </c>
      <c r="F40" t="s">
        <v>81</v>
      </c>
      <c r="G40" s="1" t="s">
        <v>93</v>
      </c>
      <c r="I40" t="b">
        <v>1</v>
      </c>
      <c r="M40" s="1">
        <v>50</v>
      </c>
      <c r="N40" t="b">
        <v>0</v>
      </c>
      <c r="O40" s="2">
        <v>0.35416666666666669</v>
      </c>
      <c r="P40" s="2">
        <v>0.9375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  <c r="W40" t="b">
        <v>0</v>
      </c>
      <c r="X40" s="1">
        <v>50</v>
      </c>
      <c r="Y40">
        <f t="shared" ca="1" si="7"/>
        <v>7.62</v>
      </c>
      <c r="Z40">
        <f t="shared" ca="1" si="7"/>
        <v>15.75</v>
      </c>
      <c r="AA40">
        <f t="shared" ca="1" si="7"/>
        <v>50.49</v>
      </c>
      <c r="AB40">
        <f t="shared" ca="1" si="7"/>
        <v>30.96</v>
      </c>
      <c r="AC40">
        <f t="shared" ca="1" si="7"/>
        <v>48.48</v>
      </c>
      <c r="AD40">
        <f t="shared" ca="1" si="7"/>
        <v>76.44</v>
      </c>
      <c r="AE40">
        <f t="shared" ca="1" si="7"/>
        <v>58.38</v>
      </c>
      <c r="AF40">
        <f t="shared" ca="1" si="7"/>
        <v>32.340000000000003</v>
      </c>
      <c r="AG40">
        <f t="shared" ca="1" si="7"/>
        <v>49.14</v>
      </c>
      <c r="AH40">
        <f t="shared" ca="1" si="7"/>
        <v>29.34</v>
      </c>
      <c r="AI40">
        <f t="shared" ca="1" si="7"/>
        <v>9.4499999999999993</v>
      </c>
      <c r="AJ40">
        <f t="shared" ca="1" si="7"/>
        <v>5.07</v>
      </c>
      <c r="AK40">
        <f t="shared" ca="1" si="7"/>
        <v>3.27</v>
      </c>
      <c r="AL40">
        <f t="shared" ca="1" si="7"/>
        <v>4.1399999999999997</v>
      </c>
      <c r="AM40">
        <f t="shared" ca="1" si="7"/>
        <v>2.2799999999999998</v>
      </c>
      <c r="AN40" s="1">
        <v>60</v>
      </c>
      <c r="AO40" s="1">
        <v>50</v>
      </c>
      <c r="AP40">
        <f t="shared" ca="1" si="8"/>
        <v>54.6</v>
      </c>
      <c r="AQ40">
        <f t="shared" ca="1" si="8"/>
        <v>57</v>
      </c>
      <c r="AR40">
        <f t="shared" ca="1" si="8"/>
        <v>55.2</v>
      </c>
      <c r="AS40">
        <f t="shared" ca="1" si="8"/>
        <v>56.4</v>
      </c>
      <c r="AT40">
        <f t="shared" ca="1" si="4"/>
        <v>30</v>
      </c>
      <c r="AU40">
        <f t="shared" ca="1" si="5"/>
        <v>0</v>
      </c>
      <c r="AV40">
        <f t="shared" ca="1" si="6"/>
        <v>0</v>
      </c>
    </row>
    <row r="41" spans="1:48">
      <c r="A41">
        <v>20003</v>
      </c>
      <c r="B41" t="s">
        <v>54</v>
      </c>
      <c r="C41" t="s">
        <v>56</v>
      </c>
      <c r="D41" t="s">
        <v>18</v>
      </c>
      <c r="E41" t="s">
        <v>13</v>
      </c>
      <c r="G41" s="1" t="s">
        <v>93</v>
      </c>
      <c r="I41" t="b">
        <v>1</v>
      </c>
      <c r="M41" s="1">
        <v>50</v>
      </c>
      <c r="N41" t="b">
        <v>0</v>
      </c>
      <c r="O41" s="2">
        <v>0.35416666666666669</v>
      </c>
      <c r="P41" s="2">
        <v>0.9375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  <c r="W41" t="b">
        <v>0</v>
      </c>
      <c r="X41" s="1">
        <v>50</v>
      </c>
      <c r="Y41">
        <f t="shared" ca="1" si="7"/>
        <v>7.26</v>
      </c>
      <c r="Z41">
        <f t="shared" ca="1" si="7"/>
        <v>9.3000000000000007</v>
      </c>
      <c r="AA41">
        <f t="shared" ca="1" si="7"/>
        <v>23.22</v>
      </c>
      <c r="AB41">
        <f t="shared" ca="1" si="7"/>
        <v>14.04</v>
      </c>
      <c r="AC41">
        <f t="shared" ca="1" si="7"/>
        <v>38.4</v>
      </c>
      <c r="AD41">
        <f t="shared" ca="1" si="7"/>
        <v>23.79</v>
      </c>
      <c r="AE41">
        <f t="shared" ca="1" si="7"/>
        <v>69.72</v>
      </c>
      <c r="AF41">
        <f t="shared" ca="1" si="7"/>
        <v>50.49</v>
      </c>
      <c r="AG41">
        <f t="shared" ca="1" si="7"/>
        <v>46.62</v>
      </c>
      <c r="AH41">
        <f t="shared" ca="1" si="7"/>
        <v>13.86</v>
      </c>
      <c r="AI41">
        <f t="shared" ca="1" si="7"/>
        <v>10.08</v>
      </c>
      <c r="AJ41">
        <f t="shared" ca="1" si="7"/>
        <v>2.37</v>
      </c>
      <c r="AK41">
        <f t="shared" ca="1" si="7"/>
        <v>3.72</v>
      </c>
      <c r="AL41">
        <f t="shared" ca="1" si="7"/>
        <v>3.96</v>
      </c>
      <c r="AM41">
        <f t="shared" ca="1" si="7"/>
        <v>4.7699999999999996</v>
      </c>
      <c r="AN41" s="1">
        <v>60</v>
      </c>
      <c r="AO41" s="1">
        <v>50</v>
      </c>
      <c r="AP41">
        <f t="shared" ca="1" si="8"/>
        <v>64.2</v>
      </c>
      <c r="AQ41">
        <f t="shared" ca="1" si="8"/>
        <v>63</v>
      </c>
      <c r="AR41">
        <f t="shared" ca="1" si="8"/>
        <v>55.2</v>
      </c>
      <c r="AS41">
        <f t="shared" ca="1" si="8"/>
        <v>66</v>
      </c>
      <c r="AT41">
        <f t="shared" ca="1" si="4"/>
        <v>27.6</v>
      </c>
      <c r="AU41">
        <f t="shared" ca="1" si="5"/>
        <v>0</v>
      </c>
      <c r="AV41">
        <f t="shared" ca="1" si="6"/>
        <v>0</v>
      </c>
    </row>
    <row r="42" spans="1:48">
      <c r="A42">
        <v>20004</v>
      </c>
      <c r="B42" t="s">
        <v>54</v>
      </c>
      <c r="C42" t="s">
        <v>56</v>
      </c>
      <c r="D42" t="s">
        <v>57</v>
      </c>
      <c r="E42" t="s">
        <v>36</v>
      </c>
      <c r="G42" s="1" t="s">
        <v>93</v>
      </c>
      <c r="I42" t="b">
        <v>1</v>
      </c>
      <c r="M42" s="1">
        <v>50</v>
      </c>
      <c r="N42" t="b">
        <v>0</v>
      </c>
      <c r="O42" s="2">
        <v>0.35416666666666669</v>
      </c>
      <c r="P42" s="2">
        <v>0.9375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  <c r="W42" t="b">
        <v>0</v>
      </c>
      <c r="X42" s="1">
        <v>50</v>
      </c>
      <c r="Y42">
        <f t="shared" ca="1" si="7"/>
        <v>11.4</v>
      </c>
      <c r="Z42">
        <f t="shared" ca="1" si="7"/>
        <v>24</v>
      </c>
      <c r="AA42">
        <f t="shared" ca="1" si="7"/>
        <v>44.55</v>
      </c>
      <c r="AB42">
        <f t="shared" ca="1" si="7"/>
        <v>19.440000000000001</v>
      </c>
      <c r="AC42">
        <f t="shared" ca="1" si="7"/>
        <v>40.799999999999997</v>
      </c>
      <c r="AD42">
        <f t="shared" ca="1" si="7"/>
        <v>72.540000000000006</v>
      </c>
      <c r="AE42">
        <f t="shared" ca="1" si="7"/>
        <v>52.5</v>
      </c>
      <c r="AF42">
        <f t="shared" ca="1" si="7"/>
        <v>26.73</v>
      </c>
      <c r="AG42">
        <f t="shared" ca="1" si="7"/>
        <v>44.52</v>
      </c>
      <c r="AH42">
        <f t="shared" ca="1" si="7"/>
        <v>24.12</v>
      </c>
      <c r="AI42">
        <f t="shared" ca="1" si="7"/>
        <v>16.38</v>
      </c>
      <c r="AJ42">
        <f t="shared" ca="1" si="7"/>
        <v>3.81</v>
      </c>
      <c r="AK42">
        <f t="shared" ca="1" si="7"/>
        <v>5.91</v>
      </c>
      <c r="AL42">
        <f t="shared" ca="1" si="7"/>
        <v>1.95</v>
      </c>
      <c r="AM42">
        <f t="shared" ca="1" si="7"/>
        <v>2.1</v>
      </c>
      <c r="AN42" s="1">
        <v>60</v>
      </c>
      <c r="AO42" s="1">
        <v>50</v>
      </c>
      <c r="AP42">
        <f t="shared" ca="1" si="8"/>
        <v>64.2</v>
      </c>
      <c r="AQ42">
        <f t="shared" ca="1" si="8"/>
        <v>60.6</v>
      </c>
      <c r="AR42">
        <f t="shared" ca="1" si="8"/>
        <v>64.8</v>
      </c>
      <c r="AS42">
        <f t="shared" ca="1" si="8"/>
        <v>56.4</v>
      </c>
      <c r="AT42">
        <f t="shared" ca="1" si="4"/>
        <v>27.6</v>
      </c>
      <c r="AU42">
        <f t="shared" ca="1" si="5"/>
        <v>0</v>
      </c>
      <c r="AV42">
        <f t="shared" ca="1" si="6"/>
        <v>0</v>
      </c>
    </row>
    <row r="43" spans="1:48">
      <c r="A43">
        <v>20005</v>
      </c>
      <c r="B43" t="s">
        <v>54</v>
      </c>
      <c r="C43" t="s">
        <v>56</v>
      </c>
      <c r="D43" t="s">
        <v>58</v>
      </c>
      <c r="E43" t="s">
        <v>14</v>
      </c>
      <c r="F43" t="s">
        <v>70</v>
      </c>
      <c r="G43" s="1" t="s">
        <v>93</v>
      </c>
      <c r="I43" t="b">
        <v>1</v>
      </c>
      <c r="M43" s="1">
        <v>50</v>
      </c>
      <c r="N43" t="b">
        <v>0</v>
      </c>
      <c r="O43" s="2">
        <v>0.35416666666666669</v>
      </c>
      <c r="P43" s="2">
        <v>0.9375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  <c r="W43" t="b">
        <v>0</v>
      </c>
      <c r="X43" s="1">
        <v>50</v>
      </c>
      <c r="Y43">
        <f t="shared" ca="1" si="7"/>
        <v>10.98</v>
      </c>
      <c r="Z43">
        <f t="shared" ca="1" si="7"/>
        <v>10.5</v>
      </c>
      <c r="AA43">
        <f t="shared" ca="1" si="7"/>
        <v>52.11</v>
      </c>
      <c r="AB43">
        <f t="shared" ca="1" si="7"/>
        <v>18.54</v>
      </c>
      <c r="AC43">
        <f t="shared" ca="1" si="7"/>
        <v>65.28</v>
      </c>
      <c r="AD43">
        <f t="shared" ca="1" si="7"/>
        <v>69.81</v>
      </c>
      <c r="AE43">
        <f t="shared" ca="1" si="7"/>
        <v>52.08</v>
      </c>
      <c r="AF43">
        <f t="shared" ca="1" si="7"/>
        <v>35.31</v>
      </c>
      <c r="AG43">
        <f t="shared" ca="1" si="7"/>
        <v>44.94</v>
      </c>
      <c r="AH43">
        <f t="shared" ca="1" si="7"/>
        <v>19.440000000000001</v>
      </c>
      <c r="AI43">
        <f t="shared" ca="1" si="7"/>
        <v>11.16</v>
      </c>
      <c r="AJ43">
        <f t="shared" ca="1" si="7"/>
        <v>4.29</v>
      </c>
      <c r="AK43">
        <f t="shared" ca="1" si="7"/>
        <v>5.67</v>
      </c>
      <c r="AL43">
        <f t="shared" ca="1" si="7"/>
        <v>2.5499999999999998</v>
      </c>
      <c r="AM43">
        <f t="shared" ca="1" si="7"/>
        <v>5.91</v>
      </c>
      <c r="AN43" s="1">
        <v>60</v>
      </c>
      <c r="AO43" s="1">
        <v>50</v>
      </c>
      <c r="AP43">
        <f t="shared" ca="1" si="8"/>
        <v>59.4</v>
      </c>
      <c r="AQ43">
        <f t="shared" ca="1" si="8"/>
        <v>54.6</v>
      </c>
      <c r="AR43">
        <f t="shared" ca="1" si="8"/>
        <v>56.4</v>
      </c>
      <c r="AS43">
        <f t="shared" ca="1" si="8"/>
        <v>55.2</v>
      </c>
      <c r="AT43">
        <f t="shared" ca="1" si="4"/>
        <v>24.6</v>
      </c>
      <c r="AU43">
        <f t="shared" ca="1" si="5"/>
        <v>0</v>
      </c>
      <c r="AV43">
        <f t="shared" ca="1" si="6"/>
        <v>0</v>
      </c>
    </row>
    <row r="44" spans="1:48">
      <c r="A44">
        <v>20006</v>
      </c>
      <c r="B44" t="s">
        <v>54</v>
      </c>
      <c r="C44" t="s">
        <v>59</v>
      </c>
      <c r="D44" t="s">
        <v>46</v>
      </c>
      <c r="E44" t="s">
        <v>20</v>
      </c>
      <c r="F44" t="s">
        <v>70</v>
      </c>
      <c r="G44" s="1" t="s">
        <v>93</v>
      </c>
      <c r="I44" t="b">
        <v>1</v>
      </c>
      <c r="M44" s="1">
        <v>50</v>
      </c>
      <c r="N44" t="b">
        <v>0</v>
      </c>
      <c r="O44" s="2">
        <v>0.35416666666666669</v>
      </c>
      <c r="P44" s="2">
        <v>0.9375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0</v>
      </c>
      <c r="X44" s="1">
        <v>50</v>
      </c>
      <c r="Y44">
        <f t="shared" ca="1" si="7"/>
        <v>6.72</v>
      </c>
      <c r="Z44">
        <f t="shared" ca="1" si="7"/>
        <v>17.100000000000001</v>
      </c>
      <c r="AA44">
        <f t="shared" ca="1" si="7"/>
        <v>22.41</v>
      </c>
      <c r="AB44">
        <f t="shared" ca="1" si="7"/>
        <v>20.16</v>
      </c>
      <c r="AC44">
        <f t="shared" ca="1" si="7"/>
        <v>39.36</v>
      </c>
      <c r="AD44">
        <f t="shared" ca="1" si="7"/>
        <v>51.09</v>
      </c>
      <c r="AE44">
        <f t="shared" ca="1" si="7"/>
        <v>75.180000000000007</v>
      </c>
      <c r="AF44">
        <f t="shared" ca="1" si="7"/>
        <v>65.34</v>
      </c>
      <c r="AG44">
        <f t="shared" ca="1" si="7"/>
        <v>56.28</v>
      </c>
      <c r="AH44">
        <f t="shared" ca="1" si="7"/>
        <v>24.66</v>
      </c>
      <c r="AI44">
        <f t="shared" ca="1" si="7"/>
        <v>14.13</v>
      </c>
      <c r="AJ44">
        <f t="shared" ca="1" si="7"/>
        <v>2.73</v>
      </c>
      <c r="AK44">
        <f t="shared" ca="1" si="7"/>
        <v>4.17</v>
      </c>
      <c r="AL44">
        <f t="shared" ca="1" si="7"/>
        <v>5.49</v>
      </c>
      <c r="AM44">
        <f t="shared" ca="1" si="7"/>
        <v>3.78</v>
      </c>
      <c r="AN44" s="1">
        <v>60</v>
      </c>
      <c r="AO44" s="1">
        <v>50</v>
      </c>
      <c r="AP44">
        <f t="shared" ca="1" si="8"/>
        <v>61.2</v>
      </c>
      <c r="AQ44">
        <f t="shared" ca="1" si="8"/>
        <v>66</v>
      </c>
      <c r="AR44">
        <f t="shared" ca="1" si="8"/>
        <v>60.6</v>
      </c>
      <c r="AS44">
        <f t="shared" ca="1" si="8"/>
        <v>56.4</v>
      </c>
      <c r="AT44">
        <f t="shared" ca="1" si="4"/>
        <v>25.8</v>
      </c>
      <c r="AU44">
        <f t="shared" ca="1" si="5"/>
        <v>0</v>
      </c>
      <c r="AV44">
        <f t="shared" ca="1" si="6"/>
        <v>0</v>
      </c>
    </row>
    <row r="45" spans="1:48">
      <c r="A45">
        <v>20007</v>
      </c>
      <c r="B45" t="s">
        <v>54</v>
      </c>
      <c r="C45" t="s">
        <v>59</v>
      </c>
      <c r="D45" t="s">
        <v>18</v>
      </c>
      <c r="E45" t="s">
        <v>13</v>
      </c>
      <c r="F45" t="s">
        <v>82</v>
      </c>
      <c r="G45" s="1" t="s">
        <v>93</v>
      </c>
      <c r="I45" t="b">
        <v>1</v>
      </c>
      <c r="M45" s="1">
        <v>50</v>
      </c>
      <c r="N45" t="b">
        <v>0</v>
      </c>
      <c r="O45" s="2">
        <v>0.35416666666666669</v>
      </c>
      <c r="P45" s="2">
        <v>0.9375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  <c r="W45" t="b">
        <v>0</v>
      </c>
      <c r="X45" s="1">
        <v>50</v>
      </c>
      <c r="Y45">
        <f t="shared" ca="1" si="7"/>
        <v>10.5</v>
      </c>
      <c r="Z45">
        <f t="shared" ca="1" si="7"/>
        <v>8.5500000000000007</v>
      </c>
      <c r="AA45">
        <f t="shared" ca="1" si="7"/>
        <v>53.73</v>
      </c>
      <c r="AB45">
        <f t="shared" ca="1" si="7"/>
        <v>34.380000000000003</v>
      </c>
      <c r="AC45">
        <f t="shared" ca="1" si="7"/>
        <v>42.24</v>
      </c>
      <c r="AD45">
        <f t="shared" ca="1" si="7"/>
        <v>24.96</v>
      </c>
      <c r="AE45">
        <f t="shared" ca="1" si="7"/>
        <v>22.68</v>
      </c>
      <c r="AF45">
        <f t="shared" ca="1" si="7"/>
        <v>20.79</v>
      </c>
      <c r="AG45">
        <f t="shared" ca="1" si="7"/>
        <v>52.5</v>
      </c>
      <c r="AH45">
        <f t="shared" ca="1" si="7"/>
        <v>33.479999999999997</v>
      </c>
      <c r="AI45">
        <f t="shared" ca="1" si="7"/>
        <v>13.68</v>
      </c>
      <c r="AJ45">
        <f t="shared" ca="1" si="7"/>
        <v>3.12</v>
      </c>
      <c r="AK45">
        <f t="shared" ca="1" si="7"/>
        <v>4.62</v>
      </c>
      <c r="AL45">
        <f t="shared" ca="1" si="7"/>
        <v>1.86</v>
      </c>
      <c r="AM45">
        <f t="shared" ca="1" si="7"/>
        <v>3.63</v>
      </c>
      <c r="AN45" s="1">
        <v>60</v>
      </c>
      <c r="AO45" s="1">
        <v>50</v>
      </c>
      <c r="AP45">
        <f t="shared" ca="1" si="8"/>
        <v>65.400000000000006</v>
      </c>
      <c r="AQ45">
        <f t="shared" ca="1" si="8"/>
        <v>63</v>
      </c>
      <c r="AR45">
        <f t="shared" ca="1" si="8"/>
        <v>55.8</v>
      </c>
      <c r="AS45">
        <f t="shared" ca="1" si="8"/>
        <v>58.2</v>
      </c>
      <c r="AT45">
        <f t="shared" ca="1" si="4"/>
        <v>30.6</v>
      </c>
      <c r="AU45">
        <f t="shared" ca="1" si="5"/>
        <v>0</v>
      </c>
      <c r="AV45">
        <f t="shared" ca="1" si="6"/>
        <v>0</v>
      </c>
    </row>
    <row r="46" spans="1:48">
      <c r="A46">
        <v>20008</v>
      </c>
      <c r="B46" t="s">
        <v>54</v>
      </c>
      <c r="C46" t="s">
        <v>60</v>
      </c>
      <c r="D46" t="s">
        <v>46</v>
      </c>
      <c r="E46" t="s">
        <v>20</v>
      </c>
      <c r="G46" s="1" t="s">
        <v>93</v>
      </c>
      <c r="I46" t="b">
        <v>1</v>
      </c>
      <c r="M46" s="1">
        <v>50</v>
      </c>
      <c r="N46" t="b">
        <v>0</v>
      </c>
      <c r="O46" s="2">
        <v>0.35416666666666669</v>
      </c>
      <c r="P46" s="2">
        <v>0.9375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0</v>
      </c>
      <c r="W46" t="b">
        <v>0</v>
      </c>
      <c r="X46" s="1">
        <v>50</v>
      </c>
      <c r="Y46">
        <f t="shared" ca="1" si="7"/>
        <v>4.2</v>
      </c>
      <c r="Z46">
        <f t="shared" ca="1" si="7"/>
        <v>26.55</v>
      </c>
      <c r="AA46">
        <f t="shared" ca="1" si="7"/>
        <v>34.29</v>
      </c>
      <c r="AB46">
        <f t="shared" ca="1" si="7"/>
        <v>13.32</v>
      </c>
      <c r="AC46">
        <f t="shared" ca="1" si="7"/>
        <v>67.2</v>
      </c>
      <c r="AD46">
        <f t="shared" ca="1" si="7"/>
        <v>57.72</v>
      </c>
      <c r="AE46">
        <f t="shared" ca="1" si="7"/>
        <v>37.799999999999997</v>
      </c>
      <c r="AF46">
        <f t="shared" ca="1" si="7"/>
        <v>47.52</v>
      </c>
      <c r="AG46">
        <f t="shared" ca="1" si="7"/>
        <v>76.02</v>
      </c>
      <c r="AH46">
        <f t="shared" ca="1" si="7"/>
        <v>24.84</v>
      </c>
      <c r="AI46">
        <f t="shared" ca="1" si="7"/>
        <v>7.56</v>
      </c>
      <c r="AJ46">
        <f t="shared" ca="1" si="7"/>
        <v>4.68</v>
      </c>
      <c r="AK46">
        <f t="shared" ca="1" si="7"/>
        <v>3</v>
      </c>
      <c r="AL46">
        <f t="shared" ca="1" si="7"/>
        <v>4.1399999999999997</v>
      </c>
      <c r="AM46">
        <f t="shared" ca="1" si="7"/>
        <v>1.53</v>
      </c>
      <c r="AN46" s="1">
        <v>60</v>
      </c>
      <c r="AO46" s="1">
        <v>50</v>
      </c>
      <c r="AP46">
        <f t="shared" ca="1" si="8"/>
        <v>59.4</v>
      </c>
      <c r="AQ46">
        <f t="shared" ca="1" si="8"/>
        <v>58.2</v>
      </c>
      <c r="AR46">
        <f t="shared" ca="1" si="8"/>
        <v>65.400000000000006</v>
      </c>
      <c r="AS46">
        <f t="shared" ca="1" si="8"/>
        <v>62.4</v>
      </c>
      <c r="AT46">
        <f t="shared" ca="1" si="4"/>
        <v>24</v>
      </c>
      <c r="AU46">
        <f t="shared" ca="1" si="5"/>
        <v>0</v>
      </c>
      <c r="AV46">
        <f t="shared" ca="1" si="6"/>
        <v>0</v>
      </c>
    </row>
    <row r="47" spans="1:48">
      <c r="A47">
        <v>20009</v>
      </c>
      <c r="B47" t="s">
        <v>54</v>
      </c>
      <c r="C47" t="s">
        <v>60</v>
      </c>
      <c r="D47" t="s">
        <v>18</v>
      </c>
      <c r="E47" t="s">
        <v>13</v>
      </c>
      <c r="G47" s="1" t="s">
        <v>93</v>
      </c>
      <c r="I47" t="b">
        <v>1</v>
      </c>
      <c r="M47" s="1">
        <v>50</v>
      </c>
      <c r="N47" t="b">
        <v>0</v>
      </c>
      <c r="O47" s="2">
        <v>0.35416666666666669</v>
      </c>
      <c r="P47" s="2">
        <v>0.9375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0</v>
      </c>
      <c r="X47" s="1">
        <v>50</v>
      </c>
      <c r="Y47">
        <f t="shared" ca="1" si="7"/>
        <v>8.64</v>
      </c>
      <c r="Z47">
        <f t="shared" ca="1" si="7"/>
        <v>11.4</v>
      </c>
      <c r="AA47">
        <f t="shared" ca="1" si="7"/>
        <v>24.3</v>
      </c>
      <c r="AB47">
        <f t="shared" ca="1" si="7"/>
        <v>25.2</v>
      </c>
      <c r="AC47">
        <f t="shared" ca="1" si="7"/>
        <v>32.64</v>
      </c>
      <c r="AD47">
        <f t="shared" ca="1" si="7"/>
        <v>71.760000000000005</v>
      </c>
      <c r="AE47">
        <f t="shared" ca="1" si="7"/>
        <v>76.44</v>
      </c>
      <c r="AF47">
        <f t="shared" ca="1" si="7"/>
        <v>57.42</v>
      </c>
      <c r="AG47">
        <f t="shared" ca="1" si="7"/>
        <v>81.48</v>
      </c>
      <c r="AH47">
        <f t="shared" ca="1" si="7"/>
        <v>29.16</v>
      </c>
      <c r="AI47">
        <f t="shared" ca="1" si="7"/>
        <v>16.649999999999999</v>
      </c>
      <c r="AJ47">
        <f t="shared" ca="1" si="7"/>
        <v>2.13</v>
      </c>
      <c r="AK47">
        <f t="shared" ca="1" si="7"/>
        <v>2.0099999999999998</v>
      </c>
      <c r="AL47">
        <f t="shared" ca="1" si="7"/>
        <v>3.81</v>
      </c>
      <c r="AM47">
        <f t="shared" ca="1" si="7"/>
        <v>5.73</v>
      </c>
      <c r="AN47" s="1">
        <v>60</v>
      </c>
      <c r="AO47" s="1">
        <v>50</v>
      </c>
      <c r="AP47">
        <f t="shared" ca="1" si="8"/>
        <v>65.400000000000006</v>
      </c>
      <c r="AQ47">
        <f t="shared" ca="1" si="8"/>
        <v>66</v>
      </c>
      <c r="AR47">
        <f t="shared" ca="1" si="8"/>
        <v>65.400000000000006</v>
      </c>
      <c r="AS47">
        <f t="shared" ca="1" si="8"/>
        <v>54.6</v>
      </c>
      <c r="AT47">
        <f t="shared" ca="1" si="4"/>
        <v>31.2</v>
      </c>
      <c r="AU47">
        <f t="shared" ca="1" si="5"/>
        <v>0</v>
      </c>
      <c r="AV47">
        <f t="shared" ca="1" si="6"/>
        <v>0</v>
      </c>
    </row>
    <row r="48" spans="1:48">
      <c r="A48">
        <v>20010</v>
      </c>
      <c r="B48" t="s">
        <v>54</v>
      </c>
      <c r="C48" t="s">
        <v>60</v>
      </c>
      <c r="D48" t="s">
        <v>57</v>
      </c>
      <c r="E48" t="s">
        <v>36</v>
      </c>
      <c r="G48" s="1" t="s">
        <v>93</v>
      </c>
      <c r="I48" t="b">
        <v>1</v>
      </c>
      <c r="M48" s="1">
        <v>50</v>
      </c>
      <c r="N48" t="b">
        <v>0</v>
      </c>
      <c r="O48" s="2">
        <v>0.35416666666666669</v>
      </c>
      <c r="P48" s="2">
        <v>0.9375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  <c r="W48" t="b">
        <v>0</v>
      </c>
      <c r="X48" s="1">
        <v>50</v>
      </c>
      <c r="Y48">
        <f t="shared" ca="1" si="7"/>
        <v>6.78</v>
      </c>
      <c r="Z48">
        <f t="shared" ca="1" si="7"/>
        <v>22.8</v>
      </c>
      <c r="AA48">
        <f t="shared" ca="1" si="7"/>
        <v>28.08</v>
      </c>
      <c r="AB48">
        <f t="shared" ca="1" si="7"/>
        <v>18.36</v>
      </c>
      <c r="AC48">
        <f t="shared" ca="1" si="7"/>
        <v>74.400000000000006</v>
      </c>
      <c r="AD48">
        <f t="shared" ca="1" si="7"/>
        <v>44.46</v>
      </c>
      <c r="AE48">
        <f t="shared" ca="1" si="7"/>
        <v>31.08</v>
      </c>
      <c r="AF48">
        <f t="shared" ca="1" si="7"/>
        <v>18.809999999999999</v>
      </c>
      <c r="AG48">
        <f t="shared" ca="1" si="7"/>
        <v>47.04</v>
      </c>
      <c r="AH48">
        <f t="shared" ca="1" si="7"/>
        <v>30.78</v>
      </c>
      <c r="AI48">
        <f t="shared" ca="1" si="7"/>
        <v>14.49</v>
      </c>
      <c r="AJ48">
        <f t="shared" ca="1" si="7"/>
        <v>3.3</v>
      </c>
      <c r="AK48">
        <f t="shared" ca="1" si="7"/>
        <v>3.51</v>
      </c>
      <c r="AL48">
        <f t="shared" ca="1" si="7"/>
        <v>1.77</v>
      </c>
      <c r="AM48">
        <f t="shared" ca="1" si="7"/>
        <v>2.73</v>
      </c>
      <c r="AN48" s="1">
        <v>60</v>
      </c>
      <c r="AO48" s="1">
        <v>50</v>
      </c>
      <c r="AP48">
        <f t="shared" ca="1" si="8"/>
        <v>57</v>
      </c>
      <c r="AQ48">
        <f t="shared" ca="1" si="8"/>
        <v>58.8</v>
      </c>
      <c r="AR48">
        <f t="shared" ca="1" si="8"/>
        <v>61.2</v>
      </c>
      <c r="AS48">
        <f t="shared" ca="1" si="8"/>
        <v>65.400000000000006</v>
      </c>
      <c r="AT48">
        <f t="shared" ca="1" si="4"/>
        <v>31.2</v>
      </c>
      <c r="AU48">
        <f t="shared" ca="1" si="5"/>
        <v>0</v>
      </c>
      <c r="AV48">
        <f t="shared" ca="1" si="6"/>
        <v>0</v>
      </c>
    </row>
    <row r="49" spans="1:48">
      <c r="A49">
        <v>20011</v>
      </c>
      <c r="B49" t="s">
        <v>54</v>
      </c>
      <c r="C49" t="s">
        <v>60</v>
      </c>
      <c r="D49" t="s">
        <v>58</v>
      </c>
      <c r="E49" t="s">
        <v>14</v>
      </c>
      <c r="G49" s="1" t="s">
        <v>93</v>
      </c>
      <c r="I49" t="b">
        <v>1</v>
      </c>
      <c r="M49" s="1">
        <v>50</v>
      </c>
      <c r="N49" t="b">
        <v>0</v>
      </c>
      <c r="O49" s="2">
        <v>0.35416666666666669</v>
      </c>
      <c r="P49" s="2">
        <v>0.9375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  <c r="W49" t="b">
        <v>0</v>
      </c>
      <c r="X49" s="1">
        <v>50</v>
      </c>
      <c r="Y49">
        <f t="shared" ca="1" si="7"/>
        <v>9.48</v>
      </c>
      <c r="Z49">
        <f t="shared" ca="1" si="7"/>
        <v>19.2</v>
      </c>
      <c r="AA49">
        <f t="shared" ca="1" si="7"/>
        <v>29.97</v>
      </c>
      <c r="AB49">
        <f t="shared" ca="1" si="7"/>
        <v>20.16</v>
      </c>
      <c r="AC49">
        <f t="shared" ca="1" si="7"/>
        <v>30.24</v>
      </c>
      <c r="AD49">
        <f t="shared" ca="1" si="7"/>
        <v>40.950000000000003</v>
      </c>
      <c r="AE49">
        <f t="shared" ca="1" si="7"/>
        <v>63</v>
      </c>
      <c r="AF49">
        <f t="shared" ca="1" si="7"/>
        <v>65.67</v>
      </c>
      <c r="AG49">
        <f t="shared" ca="1" si="7"/>
        <v>25.62</v>
      </c>
      <c r="AH49">
        <f t="shared" ca="1" si="7"/>
        <v>33.840000000000003</v>
      </c>
      <c r="AI49">
        <f t="shared" ca="1" si="7"/>
        <v>5.49</v>
      </c>
      <c r="AJ49">
        <f t="shared" ca="1" si="7"/>
        <v>3.39</v>
      </c>
      <c r="AK49">
        <f t="shared" ca="1" si="7"/>
        <v>3.03</v>
      </c>
      <c r="AL49">
        <f t="shared" ca="1" si="7"/>
        <v>4.74</v>
      </c>
      <c r="AM49">
        <f t="shared" ca="1" si="7"/>
        <v>5.07</v>
      </c>
      <c r="AN49" s="1">
        <v>60</v>
      </c>
      <c r="AO49" s="1">
        <v>50</v>
      </c>
      <c r="AP49">
        <f t="shared" ca="1" si="8"/>
        <v>58.8</v>
      </c>
      <c r="AQ49">
        <f t="shared" ca="1" si="8"/>
        <v>65.400000000000006</v>
      </c>
      <c r="AR49">
        <f t="shared" ca="1" si="8"/>
        <v>63.6</v>
      </c>
      <c r="AS49">
        <f t="shared" ca="1" si="8"/>
        <v>55.8</v>
      </c>
      <c r="AT49">
        <f t="shared" ca="1" si="4"/>
        <v>31.2</v>
      </c>
      <c r="AU49">
        <f t="shared" ca="1" si="5"/>
        <v>0</v>
      </c>
      <c r="AV49">
        <f t="shared" ca="1" si="6"/>
        <v>0</v>
      </c>
    </row>
    <row r="50" spans="1:48">
      <c r="A50">
        <v>20012</v>
      </c>
      <c r="B50" t="s">
        <v>54</v>
      </c>
      <c r="C50" t="s">
        <v>61</v>
      </c>
      <c r="D50" t="s">
        <v>32</v>
      </c>
      <c r="E50" t="s">
        <v>20</v>
      </c>
      <c r="G50" s="1" t="s">
        <v>93</v>
      </c>
      <c r="I50" t="b">
        <v>1</v>
      </c>
      <c r="M50" s="1">
        <v>50</v>
      </c>
      <c r="N50" t="b">
        <v>0</v>
      </c>
      <c r="O50" s="2">
        <v>0.35416666666666669</v>
      </c>
      <c r="P50" s="2">
        <v>0.9375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  <c r="W50" t="b">
        <v>0</v>
      </c>
      <c r="X50" s="1">
        <v>50</v>
      </c>
      <c r="Y50">
        <f t="shared" ca="1" si="7"/>
        <v>8.2799999999999994</v>
      </c>
      <c r="Z50">
        <f t="shared" ca="1" si="7"/>
        <v>18.600000000000001</v>
      </c>
      <c r="AA50">
        <f t="shared" ca="1" si="7"/>
        <v>26.73</v>
      </c>
      <c r="AB50">
        <f t="shared" ca="1" si="7"/>
        <v>18.54</v>
      </c>
      <c r="AC50">
        <f t="shared" ca="1" si="7"/>
        <v>56.64</v>
      </c>
      <c r="AD50">
        <f t="shared" ca="1" si="7"/>
        <v>65.52</v>
      </c>
      <c r="AE50">
        <f t="shared" ca="1" si="7"/>
        <v>78.12</v>
      </c>
      <c r="AF50">
        <f t="shared" ca="1" si="7"/>
        <v>38.61</v>
      </c>
      <c r="AG50">
        <f t="shared" ca="1" si="7"/>
        <v>73.5</v>
      </c>
      <c r="AH50">
        <f t="shared" ca="1" si="7"/>
        <v>30.96</v>
      </c>
      <c r="AI50">
        <f t="shared" ca="1" si="7"/>
        <v>16.47</v>
      </c>
      <c r="AJ50">
        <f t="shared" ca="1" si="7"/>
        <v>3.18</v>
      </c>
      <c r="AK50">
        <f t="shared" ca="1" si="7"/>
        <v>4.29</v>
      </c>
      <c r="AL50">
        <f t="shared" ca="1" si="7"/>
        <v>2.0099999999999998</v>
      </c>
      <c r="AM50">
        <f t="shared" ca="1" si="7"/>
        <v>3.75</v>
      </c>
      <c r="AN50" s="1">
        <v>60</v>
      </c>
      <c r="AO50" s="1">
        <v>50</v>
      </c>
      <c r="AP50">
        <f t="shared" ca="1" si="8"/>
        <v>58.8</v>
      </c>
      <c r="AQ50">
        <f t="shared" ca="1" si="8"/>
        <v>57</v>
      </c>
      <c r="AR50">
        <f t="shared" ca="1" si="8"/>
        <v>60.6</v>
      </c>
      <c r="AS50">
        <f t="shared" ca="1" si="8"/>
        <v>64.8</v>
      </c>
      <c r="AT50">
        <f t="shared" ca="1" si="4"/>
        <v>31.2</v>
      </c>
      <c r="AU50">
        <f t="shared" ca="1" si="5"/>
        <v>0</v>
      </c>
      <c r="AV50">
        <f t="shared" ca="1" si="6"/>
        <v>0</v>
      </c>
    </row>
    <row r="51" spans="1:48">
      <c r="A51">
        <v>20013</v>
      </c>
      <c r="B51" t="s">
        <v>54</v>
      </c>
      <c r="C51" t="s">
        <v>61</v>
      </c>
      <c r="D51" t="s">
        <v>32</v>
      </c>
      <c r="E51" t="s">
        <v>20</v>
      </c>
      <c r="G51" s="1" t="s">
        <v>93</v>
      </c>
      <c r="I51" t="b">
        <v>1</v>
      </c>
      <c r="M51" s="1">
        <v>50</v>
      </c>
      <c r="N51" t="b">
        <v>0</v>
      </c>
      <c r="O51" s="2">
        <v>0.35416666666666669</v>
      </c>
      <c r="P51" s="2">
        <v>0.9375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0</v>
      </c>
      <c r="W51" t="b">
        <v>0</v>
      </c>
      <c r="X51" s="1">
        <v>50</v>
      </c>
      <c r="Y51">
        <f t="shared" ref="Y51:AM62" ca="1" si="9">Y$63*RANDBETWEEN(50,200)*$AN51/100/100</f>
        <v>9.7200000000000006</v>
      </c>
      <c r="Z51">
        <f t="shared" ca="1" si="9"/>
        <v>25.35</v>
      </c>
      <c r="AA51">
        <f t="shared" ca="1" si="9"/>
        <v>42.39</v>
      </c>
      <c r="AB51">
        <f t="shared" ca="1" si="9"/>
        <v>10.98</v>
      </c>
      <c r="AC51">
        <f t="shared" ca="1" si="9"/>
        <v>91.2</v>
      </c>
      <c r="AD51">
        <f t="shared" ca="1" si="9"/>
        <v>71.760000000000005</v>
      </c>
      <c r="AE51">
        <f t="shared" ca="1" si="9"/>
        <v>80.64</v>
      </c>
      <c r="AF51">
        <f t="shared" ca="1" si="9"/>
        <v>23.76</v>
      </c>
      <c r="AG51">
        <f t="shared" ca="1" si="9"/>
        <v>57.12</v>
      </c>
      <c r="AH51">
        <f t="shared" ca="1" si="9"/>
        <v>9.7200000000000006</v>
      </c>
      <c r="AI51">
        <f t="shared" ca="1" si="9"/>
        <v>7.74</v>
      </c>
      <c r="AJ51">
        <f t="shared" ca="1" si="9"/>
        <v>5.13</v>
      </c>
      <c r="AK51">
        <f t="shared" ca="1" si="9"/>
        <v>4.08</v>
      </c>
      <c r="AL51">
        <f t="shared" ca="1" si="9"/>
        <v>4.59</v>
      </c>
      <c r="AM51">
        <f t="shared" ca="1" si="9"/>
        <v>3.33</v>
      </c>
      <c r="AN51" s="1">
        <v>60</v>
      </c>
      <c r="AO51" s="1">
        <v>50</v>
      </c>
      <c r="AP51">
        <f t="shared" ca="1" si="8"/>
        <v>59.4</v>
      </c>
      <c r="AQ51">
        <f t="shared" ca="1" si="8"/>
        <v>60.6</v>
      </c>
      <c r="AR51">
        <f t="shared" ca="1" si="8"/>
        <v>61.2</v>
      </c>
      <c r="AS51">
        <f t="shared" ca="1" si="8"/>
        <v>58.8</v>
      </c>
      <c r="AT51">
        <f t="shared" ca="1" si="4"/>
        <v>25.2</v>
      </c>
      <c r="AU51">
        <f t="shared" ca="1" si="5"/>
        <v>0</v>
      </c>
      <c r="AV51">
        <f t="shared" ca="1" si="6"/>
        <v>0</v>
      </c>
    </row>
    <row r="52" spans="1:48">
      <c r="A52">
        <v>20014</v>
      </c>
      <c r="B52" t="s">
        <v>54</v>
      </c>
      <c r="C52" t="s">
        <v>61</v>
      </c>
      <c r="D52" t="s">
        <v>34</v>
      </c>
      <c r="E52" t="s">
        <v>36</v>
      </c>
      <c r="F52" t="s">
        <v>80</v>
      </c>
      <c r="G52" s="1" t="s">
        <v>93</v>
      </c>
      <c r="I52" t="b">
        <v>1</v>
      </c>
      <c r="M52" s="1">
        <v>50</v>
      </c>
      <c r="N52" t="b">
        <v>0</v>
      </c>
      <c r="O52" s="2">
        <v>0.35416666666666669</v>
      </c>
      <c r="P52" s="2">
        <v>0.9375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s="1">
        <v>50</v>
      </c>
      <c r="Y52">
        <f t="shared" ca="1" si="9"/>
        <v>11.88</v>
      </c>
      <c r="Z52">
        <f t="shared" ca="1" si="9"/>
        <v>17.25</v>
      </c>
      <c r="AA52">
        <f t="shared" ca="1" si="9"/>
        <v>43.2</v>
      </c>
      <c r="AB52">
        <f t="shared" ca="1" si="9"/>
        <v>20.88</v>
      </c>
      <c r="AC52">
        <f t="shared" ca="1" si="9"/>
        <v>74.400000000000006</v>
      </c>
      <c r="AD52">
        <f t="shared" ca="1" si="9"/>
        <v>37.44</v>
      </c>
      <c r="AE52">
        <f t="shared" ca="1" si="9"/>
        <v>77.28</v>
      </c>
      <c r="AF52">
        <f t="shared" ca="1" si="9"/>
        <v>35.31</v>
      </c>
      <c r="AG52">
        <f t="shared" ca="1" si="9"/>
        <v>81.900000000000006</v>
      </c>
      <c r="AH52">
        <f t="shared" ca="1" si="9"/>
        <v>33.659999999999997</v>
      </c>
      <c r="AI52">
        <f t="shared" ca="1" si="9"/>
        <v>10.71</v>
      </c>
      <c r="AJ52">
        <f t="shared" ca="1" si="9"/>
        <v>5.76</v>
      </c>
      <c r="AK52">
        <f t="shared" ca="1" si="9"/>
        <v>2.2799999999999998</v>
      </c>
      <c r="AL52">
        <f t="shared" ca="1" si="9"/>
        <v>5.28</v>
      </c>
      <c r="AM52">
        <f t="shared" ca="1" si="9"/>
        <v>3.96</v>
      </c>
      <c r="AN52" s="1">
        <v>60</v>
      </c>
      <c r="AO52" s="1">
        <v>50</v>
      </c>
      <c r="AP52">
        <f t="shared" ca="1" si="8"/>
        <v>62.4</v>
      </c>
      <c r="AQ52">
        <f t="shared" ca="1" si="8"/>
        <v>60.6</v>
      </c>
      <c r="AR52">
        <f t="shared" ca="1" si="8"/>
        <v>60.6</v>
      </c>
      <c r="AS52">
        <f t="shared" ca="1" si="8"/>
        <v>54</v>
      </c>
      <c r="AT52">
        <f t="shared" ca="1" si="4"/>
        <v>32.4</v>
      </c>
      <c r="AU52">
        <f t="shared" ca="1" si="5"/>
        <v>0</v>
      </c>
      <c r="AV52">
        <f t="shared" ca="1" si="6"/>
        <v>0</v>
      </c>
    </row>
    <row r="53" spans="1:48">
      <c r="A53">
        <v>20015</v>
      </c>
      <c r="B53" t="s">
        <v>54</v>
      </c>
      <c r="C53" t="s">
        <v>62</v>
      </c>
      <c r="D53" t="s">
        <v>23</v>
      </c>
      <c r="E53" t="s">
        <v>20</v>
      </c>
      <c r="F53" t="s">
        <v>83</v>
      </c>
      <c r="G53" s="1" t="s">
        <v>93</v>
      </c>
      <c r="I53" t="b">
        <v>1</v>
      </c>
      <c r="M53" s="1">
        <v>50</v>
      </c>
      <c r="N53" t="b">
        <v>0</v>
      </c>
      <c r="O53" s="2">
        <v>0.35416666666666669</v>
      </c>
      <c r="P53" s="2">
        <v>0.9375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0</v>
      </c>
      <c r="X53" s="1">
        <v>50</v>
      </c>
      <c r="Y53">
        <f t="shared" ca="1" si="9"/>
        <v>3.06</v>
      </c>
      <c r="Z53">
        <f t="shared" ca="1" si="9"/>
        <v>18.45</v>
      </c>
      <c r="AA53">
        <f t="shared" ca="1" si="9"/>
        <v>51.84</v>
      </c>
      <c r="AB53">
        <f t="shared" ca="1" si="9"/>
        <v>11.52</v>
      </c>
      <c r="AC53">
        <f t="shared" ca="1" si="9"/>
        <v>34.56</v>
      </c>
      <c r="AD53">
        <f t="shared" ca="1" si="9"/>
        <v>37.83</v>
      </c>
      <c r="AE53">
        <f t="shared" ca="1" si="9"/>
        <v>80.64</v>
      </c>
      <c r="AF53">
        <f t="shared" ca="1" si="9"/>
        <v>52.47</v>
      </c>
      <c r="AG53">
        <f t="shared" ca="1" si="9"/>
        <v>50.82</v>
      </c>
      <c r="AH53">
        <f t="shared" ca="1" si="9"/>
        <v>30.78</v>
      </c>
      <c r="AI53">
        <f t="shared" ca="1" si="9"/>
        <v>6.39</v>
      </c>
      <c r="AJ53">
        <f t="shared" ca="1" si="9"/>
        <v>5.19</v>
      </c>
      <c r="AK53">
        <f t="shared" ca="1" si="9"/>
        <v>4.32</v>
      </c>
      <c r="AL53">
        <f t="shared" ca="1" si="9"/>
        <v>5.94</v>
      </c>
      <c r="AM53">
        <f t="shared" ca="1" si="9"/>
        <v>4.0199999999999996</v>
      </c>
      <c r="AN53" s="1">
        <v>60</v>
      </c>
      <c r="AO53" s="1">
        <v>50</v>
      </c>
      <c r="AP53">
        <f t="shared" ca="1" si="8"/>
        <v>56.4</v>
      </c>
      <c r="AQ53">
        <f t="shared" ca="1" si="8"/>
        <v>58.8</v>
      </c>
      <c r="AR53">
        <f t="shared" ca="1" si="8"/>
        <v>63.6</v>
      </c>
      <c r="AS53">
        <f t="shared" ca="1" si="8"/>
        <v>56.4</v>
      </c>
      <c r="AT53">
        <f t="shared" ca="1" si="4"/>
        <v>32.4</v>
      </c>
      <c r="AU53">
        <f t="shared" ca="1" si="5"/>
        <v>0</v>
      </c>
      <c r="AV53">
        <f t="shared" ca="1" si="6"/>
        <v>0</v>
      </c>
    </row>
    <row r="54" spans="1:48">
      <c r="A54">
        <v>20016</v>
      </c>
      <c r="B54" t="s">
        <v>54</v>
      </c>
      <c r="C54" t="s">
        <v>62</v>
      </c>
      <c r="D54" t="s">
        <v>30</v>
      </c>
      <c r="E54" t="s">
        <v>20</v>
      </c>
      <c r="G54" s="1" t="s">
        <v>93</v>
      </c>
      <c r="I54" t="b">
        <v>1</v>
      </c>
      <c r="M54" s="1">
        <v>50</v>
      </c>
      <c r="N54" t="b">
        <v>0</v>
      </c>
      <c r="O54" s="2">
        <v>0.35416666666666669</v>
      </c>
      <c r="P54" s="2">
        <v>0.9375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  <c r="W54" t="b">
        <v>0</v>
      </c>
      <c r="X54" s="1">
        <v>50</v>
      </c>
      <c r="Y54">
        <f t="shared" ca="1" si="9"/>
        <v>7.8</v>
      </c>
      <c r="Z54">
        <f t="shared" ca="1" si="9"/>
        <v>24.45</v>
      </c>
      <c r="AA54">
        <f t="shared" ca="1" si="9"/>
        <v>20.52</v>
      </c>
      <c r="AB54">
        <f t="shared" ca="1" si="9"/>
        <v>28.62</v>
      </c>
      <c r="AC54">
        <f t="shared" ca="1" si="9"/>
        <v>89.28</v>
      </c>
      <c r="AD54">
        <f t="shared" ca="1" si="9"/>
        <v>37.44</v>
      </c>
      <c r="AE54">
        <f t="shared" ca="1" si="9"/>
        <v>21.42</v>
      </c>
      <c r="AF54">
        <f t="shared" ca="1" si="9"/>
        <v>30.03</v>
      </c>
      <c r="AG54">
        <f t="shared" ca="1" si="9"/>
        <v>69.3</v>
      </c>
      <c r="AH54">
        <f t="shared" ca="1" si="9"/>
        <v>18</v>
      </c>
      <c r="AI54">
        <f t="shared" ca="1" si="9"/>
        <v>15.84</v>
      </c>
      <c r="AJ54">
        <f t="shared" ca="1" si="9"/>
        <v>3.57</v>
      </c>
      <c r="AK54">
        <f t="shared" ca="1" si="9"/>
        <v>3.63</v>
      </c>
      <c r="AL54">
        <f t="shared" ca="1" si="9"/>
        <v>3.72</v>
      </c>
      <c r="AM54">
        <f t="shared" ca="1" si="9"/>
        <v>2.1</v>
      </c>
      <c r="AN54" s="1">
        <v>60</v>
      </c>
      <c r="AO54" s="1">
        <v>50</v>
      </c>
      <c r="AP54">
        <f t="shared" ca="1" si="8"/>
        <v>61.8</v>
      </c>
      <c r="AQ54">
        <f t="shared" ca="1" si="8"/>
        <v>59.4</v>
      </c>
      <c r="AR54">
        <f t="shared" ca="1" si="8"/>
        <v>54</v>
      </c>
      <c r="AS54">
        <f t="shared" ca="1" si="8"/>
        <v>58.2</v>
      </c>
      <c r="AT54">
        <f t="shared" ca="1" si="4"/>
        <v>31.8</v>
      </c>
      <c r="AU54">
        <f t="shared" ca="1" si="5"/>
        <v>0</v>
      </c>
      <c r="AV54">
        <f t="shared" ca="1" si="6"/>
        <v>0</v>
      </c>
    </row>
    <row r="55" spans="1:48">
      <c r="A55">
        <v>20017</v>
      </c>
      <c r="B55" t="s">
        <v>54</v>
      </c>
      <c r="C55" t="s">
        <v>63</v>
      </c>
      <c r="D55" t="s">
        <v>46</v>
      </c>
      <c r="E55" t="s">
        <v>20</v>
      </c>
      <c r="G55" s="1" t="s">
        <v>93</v>
      </c>
      <c r="I55" t="b">
        <v>1</v>
      </c>
      <c r="M55" s="1">
        <v>50</v>
      </c>
      <c r="N55" t="b">
        <v>0</v>
      </c>
      <c r="O55" s="2">
        <v>0.35416666666666669</v>
      </c>
      <c r="P55" s="2">
        <v>0.9375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  <c r="W55" t="b">
        <v>0</v>
      </c>
      <c r="X55" s="1">
        <v>50</v>
      </c>
      <c r="Y55">
        <f t="shared" ca="1" si="9"/>
        <v>5.4</v>
      </c>
      <c r="Z55">
        <f t="shared" ca="1" si="9"/>
        <v>26.4</v>
      </c>
      <c r="AA55">
        <f t="shared" ca="1" si="9"/>
        <v>19.170000000000002</v>
      </c>
      <c r="AB55">
        <f t="shared" ca="1" si="9"/>
        <v>10.98</v>
      </c>
      <c r="AC55">
        <f t="shared" ca="1" si="9"/>
        <v>37.44</v>
      </c>
      <c r="AD55">
        <f t="shared" ca="1" si="9"/>
        <v>29.64</v>
      </c>
      <c r="AE55">
        <f t="shared" ca="1" si="9"/>
        <v>82.74</v>
      </c>
      <c r="AF55">
        <f t="shared" ca="1" si="9"/>
        <v>21.12</v>
      </c>
      <c r="AG55">
        <f t="shared" ca="1" si="9"/>
        <v>48.3</v>
      </c>
      <c r="AH55">
        <f t="shared" ca="1" si="9"/>
        <v>9.7200000000000006</v>
      </c>
      <c r="AI55">
        <f t="shared" ca="1" si="9"/>
        <v>10.89</v>
      </c>
      <c r="AJ55">
        <f t="shared" ca="1" si="9"/>
        <v>5.58</v>
      </c>
      <c r="AK55">
        <f t="shared" ca="1" si="9"/>
        <v>5.46</v>
      </c>
      <c r="AL55">
        <f t="shared" ca="1" si="9"/>
        <v>1.65</v>
      </c>
      <c r="AM55">
        <f t="shared" ca="1" si="9"/>
        <v>4.5</v>
      </c>
      <c r="AN55" s="1">
        <v>60</v>
      </c>
      <c r="AO55" s="1">
        <v>50</v>
      </c>
      <c r="AP55">
        <f t="shared" ca="1" si="8"/>
        <v>61.8</v>
      </c>
      <c r="AQ55">
        <f t="shared" ca="1" si="8"/>
        <v>61.8</v>
      </c>
      <c r="AR55">
        <f t="shared" ca="1" si="8"/>
        <v>58.2</v>
      </c>
      <c r="AS55">
        <f t="shared" ca="1" si="8"/>
        <v>63</v>
      </c>
      <c r="AT55">
        <f t="shared" ca="1" si="4"/>
        <v>28.2</v>
      </c>
      <c r="AU55">
        <f t="shared" ca="1" si="5"/>
        <v>0</v>
      </c>
      <c r="AV55">
        <f t="shared" ca="1" si="6"/>
        <v>0</v>
      </c>
    </row>
    <row r="56" spans="1:48">
      <c r="A56">
        <v>20018</v>
      </c>
      <c r="B56" t="s">
        <v>54</v>
      </c>
      <c r="C56" t="s">
        <v>64</v>
      </c>
      <c r="D56" t="s">
        <v>46</v>
      </c>
      <c r="E56" t="s">
        <v>20</v>
      </c>
      <c r="F56" t="s">
        <v>84</v>
      </c>
      <c r="G56" s="1" t="s">
        <v>93</v>
      </c>
      <c r="I56" t="b">
        <v>1</v>
      </c>
      <c r="M56" s="1">
        <v>50</v>
      </c>
      <c r="N56" t="b">
        <v>0</v>
      </c>
      <c r="O56" s="2">
        <v>0.35416666666666669</v>
      </c>
      <c r="P56" s="2">
        <v>0.9375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0</v>
      </c>
      <c r="X56" s="1">
        <v>50</v>
      </c>
      <c r="Y56">
        <f t="shared" ca="1" si="9"/>
        <v>4.68</v>
      </c>
      <c r="Z56">
        <f t="shared" ca="1" si="9"/>
        <v>15.3</v>
      </c>
      <c r="AA56">
        <f t="shared" ca="1" si="9"/>
        <v>18.899999999999999</v>
      </c>
      <c r="AB56">
        <f t="shared" ca="1" si="9"/>
        <v>13.86</v>
      </c>
      <c r="AC56">
        <f t="shared" ca="1" si="9"/>
        <v>38.4</v>
      </c>
      <c r="AD56">
        <f t="shared" ca="1" si="9"/>
        <v>30.81</v>
      </c>
      <c r="AE56">
        <f t="shared" ca="1" si="9"/>
        <v>45.78</v>
      </c>
      <c r="AF56">
        <f t="shared" ca="1" si="9"/>
        <v>55.77</v>
      </c>
      <c r="AG56">
        <f t="shared" ca="1" si="9"/>
        <v>47.46</v>
      </c>
      <c r="AH56">
        <f t="shared" ca="1" si="9"/>
        <v>15.66</v>
      </c>
      <c r="AI56">
        <f t="shared" ca="1" si="9"/>
        <v>12.78</v>
      </c>
      <c r="AJ56">
        <f t="shared" ca="1" si="9"/>
        <v>3.03</v>
      </c>
      <c r="AK56">
        <f t="shared" ca="1" si="9"/>
        <v>4.26</v>
      </c>
      <c r="AL56">
        <f t="shared" ca="1" si="9"/>
        <v>1.89</v>
      </c>
      <c r="AM56">
        <f t="shared" ca="1" si="9"/>
        <v>1.62</v>
      </c>
      <c r="AN56" s="1">
        <v>60</v>
      </c>
      <c r="AO56" s="1">
        <v>50</v>
      </c>
      <c r="AP56">
        <f t="shared" ca="1" si="8"/>
        <v>63</v>
      </c>
      <c r="AQ56">
        <f t="shared" ca="1" si="8"/>
        <v>58.8</v>
      </c>
      <c r="AR56">
        <f t="shared" ca="1" si="8"/>
        <v>55.2</v>
      </c>
      <c r="AS56">
        <f t="shared" ca="1" si="8"/>
        <v>63.6</v>
      </c>
      <c r="AT56">
        <f t="shared" ca="1" si="4"/>
        <v>31.8</v>
      </c>
      <c r="AU56">
        <f t="shared" ca="1" si="5"/>
        <v>0</v>
      </c>
      <c r="AV56">
        <f t="shared" ca="1" si="6"/>
        <v>0</v>
      </c>
    </row>
    <row r="57" spans="1:48">
      <c r="A57">
        <v>20019</v>
      </c>
      <c r="B57" t="s">
        <v>54</v>
      </c>
      <c r="C57" t="s">
        <v>65</v>
      </c>
      <c r="D57" t="s">
        <v>66</v>
      </c>
      <c r="E57" t="s">
        <v>20</v>
      </c>
      <c r="F57" t="s">
        <v>77</v>
      </c>
      <c r="G57" s="1" t="s">
        <v>93</v>
      </c>
      <c r="I57" t="b">
        <v>1</v>
      </c>
      <c r="M57" s="1">
        <v>50</v>
      </c>
      <c r="N57" t="b">
        <v>0</v>
      </c>
      <c r="O57" s="2">
        <v>0.35416666666666669</v>
      </c>
      <c r="P57" s="2">
        <v>0.9375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0</v>
      </c>
      <c r="X57" s="1">
        <v>50</v>
      </c>
      <c r="Y57">
        <f t="shared" ca="1" si="9"/>
        <v>4.68</v>
      </c>
      <c r="Z57">
        <f t="shared" ca="1" si="9"/>
        <v>10.5</v>
      </c>
      <c r="AA57">
        <f t="shared" ca="1" si="9"/>
        <v>48.33</v>
      </c>
      <c r="AB57">
        <f t="shared" ca="1" si="9"/>
        <v>15.84</v>
      </c>
      <c r="AC57">
        <f t="shared" ca="1" si="9"/>
        <v>25.44</v>
      </c>
      <c r="AD57">
        <f t="shared" ca="1" si="9"/>
        <v>51.48</v>
      </c>
      <c r="AE57">
        <f t="shared" ca="1" si="9"/>
        <v>79.8</v>
      </c>
      <c r="AF57">
        <f t="shared" ca="1" si="9"/>
        <v>42.24</v>
      </c>
      <c r="AG57">
        <f t="shared" ca="1" si="9"/>
        <v>56.28</v>
      </c>
      <c r="AH57">
        <f t="shared" ca="1" si="9"/>
        <v>12.42</v>
      </c>
      <c r="AI57">
        <f t="shared" ca="1" si="9"/>
        <v>15.3</v>
      </c>
      <c r="AJ57">
        <f t="shared" ca="1" si="9"/>
        <v>4.29</v>
      </c>
      <c r="AK57">
        <f t="shared" ca="1" si="9"/>
        <v>1.74</v>
      </c>
      <c r="AL57">
        <f t="shared" ca="1" si="9"/>
        <v>3.66</v>
      </c>
      <c r="AM57">
        <f t="shared" ca="1" si="9"/>
        <v>3.3</v>
      </c>
      <c r="AN57" s="1">
        <v>60</v>
      </c>
      <c r="AO57" s="1">
        <v>50</v>
      </c>
      <c r="AP57">
        <f t="shared" ca="1" si="8"/>
        <v>55.8</v>
      </c>
      <c r="AQ57">
        <f t="shared" ca="1" si="8"/>
        <v>58.2</v>
      </c>
      <c r="AR57">
        <f t="shared" ca="1" si="8"/>
        <v>63.6</v>
      </c>
      <c r="AS57">
        <f t="shared" ca="1" si="8"/>
        <v>60</v>
      </c>
      <c r="AT57">
        <f t="shared" ca="1" si="4"/>
        <v>30.6</v>
      </c>
      <c r="AU57">
        <f t="shared" ca="1" si="5"/>
        <v>0</v>
      </c>
      <c r="AV57">
        <f t="shared" ca="1" si="6"/>
        <v>0</v>
      </c>
    </row>
    <row r="58" spans="1:48">
      <c r="A58">
        <v>20020</v>
      </c>
      <c r="B58" t="s">
        <v>54</v>
      </c>
      <c r="C58" t="s">
        <v>67</v>
      </c>
      <c r="D58" t="s">
        <v>46</v>
      </c>
      <c r="E58" t="s">
        <v>20</v>
      </c>
      <c r="F58" t="s">
        <v>70</v>
      </c>
      <c r="G58" s="1" t="s">
        <v>93</v>
      </c>
      <c r="I58" t="b">
        <v>1</v>
      </c>
      <c r="M58" s="1">
        <v>50</v>
      </c>
      <c r="N58" t="b">
        <v>0</v>
      </c>
      <c r="O58" s="2">
        <v>0.35416666666666669</v>
      </c>
      <c r="P58" s="2">
        <v>0.9375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0</v>
      </c>
      <c r="W58" t="b">
        <v>0</v>
      </c>
      <c r="X58" s="1">
        <v>50</v>
      </c>
      <c r="Y58">
        <f t="shared" ca="1" si="9"/>
        <v>11.88</v>
      </c>
      <c r="Z58">
        <f t="shared" ca="1" si="9"/>
        <v>12.3</v>
      </c>
      <c r="AA58">
        <f t="shared" ca="1" si="9"/>
        <v>13.77</v>
      </c>
      <c r="AB58">
        <f t="shared" ca="1" si="9"/>
        <v>17.64</v>
      </c>
      <c r="AC58">
        <f t="shared" ca="1" si="9"/>
        <v>69.12</v>
      </c>
      <c r="AD58">
        <f t="shared" ca="1" si="9"/>
        <v>29.64</v>
      </c>
      <c r="AE58">
        <f t="shared" ca="1" si="9"/>
        <v>60.06</v>
      </c>
      <c r="AF58">
        <f t="shared" ca="1" si="9"/>
        <v>65.67</v>
      </c>
      <c r="AG58">
        <f t="shared" ca="1" si="9"/>
        <v>39.06</v>
      </c>
      <c r="AH58">
        <f t="shared" ca="1" si="9"/>
        <v>18.899999999999999</v>
      </c>
      <c r="AI58">
        <f t="shared" ca="1" si="9"/>
        <v>11.97</v>
      </c>
      <c r="AJ58">
        <f t="shared" ca="1" si="9"/>
        <v>5.28</v>
      </c>
      <c r="AK58">
        <f t="shared" ca="1" si="9"/>
        <v>4.59</v>
      </c>
      <c r="AL58">
        <f t="shared" ca="1" si="9"/>
        <v>3.21</v>
      </c>
      <c r="AM58">
        <f t="shared" ca="1" si="9"/>
        <v>4.1100000000000003</v>
      </c>
      <c r="AN58" s="1">
        <v>60</v>
      </c>
      <c r="AO58" s="1">
        <v>50</v>
      </c>
      <c r="AP58">
        <f t="shared" ca="1" si="8"/>
        <v>64.8</v>
      </c>
      <c r="AQ58">
        <f t="shared" ca="1" si="8"/>
        <v>59.4</v>
      </c>
      <c r="AR58">
        <f t="shared" ca="1" si="8"/>
        <v>61.2</v>
      </c>
      <c r="AS58">
        <f t="shared" ca="1" si="8"/>
        <v>66</v>
      </c>
      <c r="AT58">
        <f t="shared" ca="1" si="4"/>
        <v>26.4</v>
      </c>
      <c r="AU58">
        <f t="shared" ca="1" si="5"/>
        <v>0</v>
      </c>
      <c r="AV58">
        <f t="shared" ca="1" si="6"/>
        <v>0</v>
      </c>
    </row>
    <row r="59" spans="1:48">
      <c r="A59">
        <v>20021</v>
      </c>
      <c r="B59" t="s">
        <v>54</v>
      </c>
      <c r="C59" t="s">
        <v>67</v>
      </c>
      <c r="D59" t="s">
        <v>18</v>
      </c>
      <c r="E59" t="s">
        <v>13</v>
      </c>
      <c r="G59" s="1" t="s">
        <v>93</v>
      </c>
      <c r="I59" t="b">
        <v>1</v>
      </c>
      <c r="M59" s="1">
        <v>50</v>
      </c>
      <c r="N59" t="b">
        <v>0</v>
      </c>
      <c r="O59" s="2">
        <v>0.35416666666666669</v>
      </c>
      <c r="P59" s="2">
        <v>0.9375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  <c r="W59" t="b">
        <v>0</v>
      </c>
      <c r="X59" s="1">
        <v>50</v>
      </c>
      <c r="Y59">
        <f t="shared" ca="1" si="9"/>
        <v>9.7799999999999994</v>
      </c>
      <c r="Z59">
        <f t="shared" ca="1" si="9"/>
        <v>30</v>
      </c>
      <c r="AA59">
        <f t="shared" ca="1" si="9"/>
        <v>13.77</v>
      </c>
      <c r="AB59">
        <f t="shared" ca="1" si="9"/>
        <v>30.96</v>
      </c>
      <c r="AC59">
        <f t="shared" ca="1" si="9"/>
        <v>56.16</v>
      </c>
      <c r="AD59">
        <f t="shared" ca="1" si="9"/>
        <v>77.22</v>
      </c>
      <c r="AE59">
        <f t="shared" ca="1" si="9"/>
        <v>68.459999999999994</v>
      </c>
      <c r="AF59">
        <f t="shared" ca="1" si="9"/>
        <v>25.08</v>
      </c>
      <c r="AG59">
        <f t="shared" ca="1" si="9"/>
        <v>47.46</v>
      </c>
      <c r="AH59">
        <f t="shared" ca="1" si="9"/>
        <v>33.299999999999997</v>
      </c>
      <c r="AI59">
        <f t="shared" ca="1" si="9"/>
        <v>13.14</v>
      </c>
      <c r="AJ59">
        <f t="shared" ca="1" si="9"/>
        <v>2.76</v>
      </c>
      <c r="AK59">
        <f t="shared" ca="1" si="9"/>
        <v>5.7</v>
      </c>
      <c r="AL59">
        <f t="shared" ca="1" si="9"/>
        <v>1.5</v>
      </c>
      <c r="AM59">
        <f t="shared" ca="1" si="9"/>
        <v>5.85</v>
      </c>
      <c r="AN59" s="1">
        <v>60</v>
      </c>
      <c r="AO59" s="1">
        <v>50</v>
      </c>
      <c r="AP59">
        <f t="shared" ca="1" si="8"/>
        <v>61.8</v>
      </c>
      <c r="AQ59">
        <f t="shared" ca="1" si="8"/>
        <v>55.8</v>
      </c>
      <c r="AR59">
        <f t="shared" ca="1" si="8"/>
        <v>61.8</v>
      </c>
      <c r="AS59">
        <f t="shared" ca="1" si="8"/>
        <v>55.2</v>
      </c>
      <c r="AT59">
        <f t="shared" ca="1" si="4"/>
        <v>29.4</v>
      </c>
      <c r="AU59">
        <f t="shared" ca="1" si="5"/>
        <v>0</v>
      </c>
      <c r="AV59">
        <f t="shared" ca="1" si="6"/>
        <v>0</v>
      </c>
    </row>
    <row r="60" spans="1:48">
      <c r="A60">
        <v>10038</v>
      </c>
      <c r="B60" t="s">
        <v>5</v>
      </c>
      <c r="C60" t="s">
        <v>4</v>
      </c>
      <c r="D60" t="s">
        <v>98</v>
      </c>
      <c r="E60" t="s">
        <v>16</v>
      </c>
      <c r="F60" t="s">
        <v>99</v>
      </c>
      <c r="G60" s="1" t="s">
        <v>93</v>
      </c>
      <c r="H60" s="1" t="s">
        <v>100</v>
      </c>
      <c r="I60" t="b">
        <v>0</v>
      </c>
      <c r="M60" s="1">
        <v>40</v>
      </c>
      <c r="N60" t="b">
        <v>1</v>
      </c>
      <c r="O60" s="2">
        <v>0.35416666666666669</v>
      </c>
      <c r="P60" s="2">
        <v>0.9375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s="1">
        <v>50</v>
      </c>
      <c r="Y60">
        <f t="shared" ca="1" si="9"/>
        <v>4.4800000000000004</v>
      </c>
      <c r="Z60">
        <f t="shared" ca="1" si="9"/>
        <v>19.600000000000001</v>
      </c>
      <c r="AA60">
        <f t="shared" ca="1" si="9"/>
        <v>62.685000000000002</v>
      </c>
      <c r="AB60">
        <f t="shared" ca="1" si="9"/>
        <v>25.41</v>
      </c>
      <c r="AC60">
        <f t="shared" ca="1" si="9"/>
        <v>94.08</v>
      </c>
      <c r="AD60">
        <f t="shared" ca="1" si="9"/>
        <v>46.865000000000002</v>
      </c>
      <c r="AE60">
        <f t="shared" ca="1" si="9"/>
        <v>84.28</v>
      </c>
      <c r="AF60">
        <f t="shared" ca="1" si="9"/>
        <v>30.8</v>
      </c>
      <c r="AG60">
        <f t="shared" ca="1" si="9"/>
        <v>80.849999999999994</v>
      </c>
      <c r="AH60">
        <f t="shared" ca="1" si="9"/>
        <v>40.32</v>
      </c>
      <c r="AI60">
        <f t="shared" ca="1" si="9"/>
        <v>17.43</v>
      </c>
      <c r="AJ60">
        <f t="shared" ca="1" si="9"/>
        <v>4.6900000000000004</v>
      </c>
      <c r="AK60">
        <f t="shared" ca="1" si="9"/>
        <v>2.94</v>
      </c>
      <c r="AL60">
        <f t="shared" ca="1" si="9"/>
        <v>6.5449999999999999</v>
      </c>
      <c r="AM60">
        <f t="shared" ca="1" si="9"/>
        <v>3.5350000000000001</v>
      </c>
      <c r="AN60" s="1">
        <v>70</v>
      </c>
      <c r="AO60" s="1">
        <v>15</v>
      </c>
      <c r="AP60">
        <f t="shared" ca="1" si="8"/>
        <v>76.3</v>
      </c>
      <c r="AQ60">
        <f t="shared" ca="1" si="8"/>
        <v>75.599999999999994</v>
      </c>
      <c r="AR60">
        <f t="shared" ca="1" si="8"/>
        <v>70.7</v>
      </c>
      <c r="AS60">
        <f t="shared" ca="1" si="8"/>
        <v>67.900000000000006</v>
      </c>
      <c r="AT60">
        <f t="shared" ca="1" si="4"/>
        <v>34.299999999999997</v>
      </c>
      <c r="AU60">
        <f t="shared" ca="1" si="5"/>
        <v>5.6</v>
      </c>
      <c r="AV60">
        <f t="shared" ca="1" si="6"/>
        <v>3.5</v>
      </c>
    </row>
    <row r="61" spans="1:48">
      <c r="A61">
        <v>10039</v>
      </c>
      <c r="B61" t="s">
        <v>5</v>
      </c>
      <c r="C61" t="s">
        <v>25</v>
      </c>
      <c r="D61" t="s">
        <v>98</v>
      </c>
      <c r="E61" t="s">
        <v>16</v>
      </c>
      <c r="F61" t="s">
        <v>70</v>
      </c>
      <c r="G61" s="1" t="s">
        <v>93</v>
      </c>
      <c r="H61" s="1" t="s">
        <v>101</v>
      </c>
      <c r="I61" t="b">
        <v>0</v>
      </c>
      <c r="M61" s="1">
        <v>50</v>
      </c>
      <c r="N61" t="b">
        <v>1</v>
      </c>
      <c r="O61" s="2">
        <v>0.35416666666666669</v>
      </c>
      <c r="P61" s="2">
        <v>0.9375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s="1">
        <v>50</v>
      </c>
      <c r="Y61">
        <f t="shared" ca="1" si="9"/>
        <v>8.75</v>
      </c>
      <c r="Z61">
        <f t="shared" ca="1" si="9"/>
        <v>28.875</v>
      </c>
      <c r="AA61">
        <f t="shared" ca="1" si="9"/>
        <v>31.184999999999999</v>
      </c>
      <c r="AB61">
        <f t="shared" ca="1" si="9"/>
        <v>23.52</v>
      </c>
      <c r="AC61">
        <f t="shared" ca="1" si="9"/>
        <v>98</v>
      </c>
      <c r="AD61">
        <f t="shared" ca="1" si="9"/>
        <v>37.31</v>
      </c>
      <c r="AE61">
        <f t="shared" ca="1" si="9"/>
        <v>63.21</v>
      </c>
      <c r="AF61">
        <f t="shared" ca="1" si="9"/>
        <v>48.51</v>
      </c>
      <c r="AG61">
        <f t="shared" ca="1" si="9"/>
        <v>31.85</v>
      </c>
      <c r="AH61">
        <f t="shared" ca="1" si="9"/>
        <v>24.78</v>
      </c>
      <c r="AI61">
        <f t="shared" ca="1" si="9"/>
        <v>12.494999999999999</v>
      </c>
      <c r="AJ61">
        <f t="shared" ca="1" si="9"/>
        <v>5.6349999999999998</v>
      </c>
      <c r="AK61">
        <f t="shared" ca="1" si="9"/>
        <v>1.82</v>
      </c>
      <c r="AL61">
        <f t="shared" ca="1" si="9"/>
        <v>3.0449999999999999</v>
      </c>
      <c r="AM61">
        <f t="shared" ca="1" si="9"/>
        <v>3.71</v>
      </c>
      <c r="AN61" s="1">
        <v>70</v>
      </c>
      <c r="AO61" s="1">
        <v>15</v>
      </c>
      <c r="AP61">
        <f t="shared" ca="1" si="8"/>
        <v>67.2</v>
      </c>
      <c r="AQ61">
        <f t="shared" ca="1" si="8"/>
        <v>76.3</v>
      </c>
      <c r="AR61">
        <f t="shared" ca="1" si="8"/>
        <v>74.2</v>
      </c>
      <c r="AS61">
        <f t="shared" ca="1" si="8"/>
        <v>65.099999999999994</v>
      </c>
      <c r="AT61">
        <f t="shared" ca="1" si="4"/>
        <v>38.5</v>
      </c>
      <c r="AU61">
        <f t="shared" ca="1" si="5"/>
        <v>8.4</v>
      </c>
      <c r="AV61">
        <f t="shared" ca="1" si="6"/>
        <v>6.3</v>
      </c>
    </row>
    <row r="62" spans="1:48">
      <c r="A62">
        <v>10040</v>
      </c>
      <c r="B62" t="s">
        <v>5</v>
      </c>
      <c r="C62" t="s">
        <v>10</v>
      </c>
      <c r="D62" t="s">
        <v>104</v>
      </c>
      <c r="E62" t="s">
        <v>105</v>
      </c>
      <c r="G62" s="1" t="s">
        <v>95</v>
      </c>
      <c r="H62" s="1" t="s">
        <v>106</v>
      </c>
      <c r="I62" t="b">
        <v>0</v>
      </c>
      <c r="M62" s="1">
        <v>80</v>
      </c>
      <c r="N62" t="b">
        <v>1</v>
      </c>
      <c r="O62" s="2">
        <v>0.35416666666666669</v>
      </c>
      <c r="P62" s="2">
        <v>0.9375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s="1">
        <v>40</v>
      </c>
      <c r="Y62">
        <f t="shared" ca="1" si="9"/>
        <v>2.4</v>
      </c>
      <c r="Z62">
        <f t="shared" ca="1" si="9"/>
        <v>10.65</v>
      </c>
      <c r="AA62">
        <f t="shared" ca="1" si="9"/>
        <v>12.96</v>
      </c>
      <c r="AB62">
        <f t="shared" ca="1" si="9"/>
        <v>11.88</v>
      </c>
      <c r="AC62">
        <f t="shared" ca="1" si="9"/>
        <v>26.64</v>
      </c>
      <c r="AD62">
        <f t="shared" ca="1" si="9"/>
        <v>12.09</v>
      </c>
      <c r="AE62">
        <f t="shared" ca="1" si="9"/>
        <v>23.52</v>
      </c>
      <c r="AF62">
        <f t="shared" ca="1" si="9"/>
        <v>25.905000000000001</v>
      </c>
      <c r="AG62">
        <f t="shared" ca="1" si="9"/>
        <v>33.6</v>
      </c>
      <c r="AH62">
        <f t="shared" ca="1" si="9"/>
        <v>5.94</v>
      </c>
      <c r="AI62">
        <f t="shared" ca="1" si="9"/>
        <v>8.9550000000000001</v>
      </c>
      <c r="AJ62">
        <f t="shared" ca="1" si="9"/>
        <v>2.67</v>
      </c>
      <c r="AK62">
        <f t="shared" ca="1" si="9"/>
        <v>2.9849999999999999</v>
      </c>
      <c r="AL62">
        <f t="shared" ca="1" si="9"/>
        <v>1.1100000000000001</v>
      </c>
      <c r="AM62">
        <f t="shared" ca="1" si="9"/>
        <v>2.4300000000000002</v>
      </c>
      <c r="AN62" s="1">
        <v>30</v>
      </c>
      <c r="AO62" s="1">
        <v>60</v>
      </c>
      <c r="AP62">
        <f t="shared" ca="1" si="8"/>
        <v>32.4</v>
      </c>
      <c r="AQ62">
        <f t="shared" ca="1" si="8"/>
        <v>27</v>
      </c>
      <c r="AR62">
        <f t="shared" ca="1" si="8"/>
        <v>29.7</v>
      </c>
      <c r="AS62">
        <f t="shared" ca="1" si="8"/>
        <v>27.3</v>
      </c>
      <c r="AT62">
        <f t="shared" ca="1" si="4"/>
        <v>15.3</v>
      </c>
      <c r="AU62">
        <f t="shared" ca="1" si="5"/>
        <v>1.5</v>
      </c>
      <c r="AV62">
        <f t="shared" ca="1" si="6"/>
        <v>3.6</v>
      </c>
    </row>
    <row r="63" spans="1:48">
      <c r="Y63">
        <v>10</v>
      </c>
      <c r="Z63">
        <v>25</v>
      </c>
      <c r="AA63">
        <v>45</v>
      </c>
      <c r="AB63">
        <v>30</v>
      </c>
      <c r="AC63">
        <v>80</v>
      </c>
      <c r="AD63">
        <v>65</v>
      </c>
      <c r="AE63">
        <v>70</v>
      </c>
      <c r="AF63">
        <v>55</v>
      </c>
      <c r="AG63">
        <v>70</v>
      </c>
      <c r="AH63">
        <v>30</v>
      </c>
      <c r="AI63">
        <v>15</v>
      </c>
      <c r="AJ63">
        <v>5</v>
      </c>
      <c r="AK63">
        <v>5</v>
      </c>
      <c r="AL63">
        <v>5</v>
      </c>
      <c r="AM6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최</dc:creator>
  <cp:lastModifiedBy>윤서 최</cp:lastModifiedBy>
  <dcterms:created xsi:type="dcterms:W3CDTF">2026-05-31T03:22:51Z</dcterms:created>
  <dcterms:modified xsi:type="dcterms:W3CDTF">2026-05-31T04:33:22Z</dcterms:modified>
</cp:coreProperties>
</file>